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Assessment" sheetId="2" state="visible" r:id="rId4"/>
    <sheet name="Weighted Scoring" sheetId="3" state="visible" r:id="rId5"/>
    <sheet name="AFI Rubric" sheetId="4" state="visible" r:id="rId6"/>
    <sheet name="EGI Rubric" sheetId="5" state="visible" r:id="rId7"/>
    <sheet name="Evidence Tiers" sheetId="6" state="visible" r:id="rId8"/>
    <sheet name="ABOM" sheetId="7" state="visible" r:id="rId9"/>
    <sheet name="Threat Model" sheetId="8" state="visible" r:id="rId10"/>
    <sheet name="Domain Overlays" sheetId="9" state="visible" r:id="rId11"/>
    <sheet name="Non-Compensatory Rules" sheetId="10" state="visible" r:id="rId12"/>
    <sheet name="Risk Acceptance" sheetId="11" state="visible" r:id="rId13"/>
    <sheet name="Architecture Review Packet" sheetId="12" state="visible" r:id="rId14"/>
    <sheet name="Deployment Gates" sheetId="13" state="visible" r:id="rId15"/>
    <sheet name="Control Uplift Planner" sheetId="14" state="visible" r:id="rId16"/>
    <sheet name="Standards Map" sheetId="15" state="visible" r:id="rId17"/>
    <sheet name="Change Log" sheetId="16" state="visible" r:id="rId18"/>
    <sheet name="Real Example" sheetId="17" state="visible" r:id="rId19"/>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<sst xmlns="http://schemas.openxmlformats.org/spreadsheetml/2006/main" count="750" uniqueCount="595">
  <si>
    <t xml:space="preserve">Agentic Stability Framework v1.0 - Initial Public Release Dashboard</t>
  </si>
  <si>
    <t xml:space="preserve">Portfolio summary for Agentic Force, Enterprise Gravity, Stability Margin, and governance readiness</t>
  </si>
  <si>
    <t xml:space="preserve">Metric</t>
  </si>
  <si>
    <t xml:space="preserve">Value</t>
  </si>
  <si>
    <t xml:space="preserve">Orbit</t>
  </si>
  <si>
    <t xml:space="preserve">Count</t>
  </si>
  <si>
    <t xml:space="preserve">Default Action</t>
  </si>
  <si>
    <t xml:space="preserve">Total Agents</t>
  </si>
  <si>
    <t xml:space="preserve">Stable Orbit</t>
  </si>
  <si>
    <t xml:space="preserve">Scale with monitoring</t>
  </si>
  <si>
    <t xml:space="preserve">Average AFI</t>
  </si>
  <si>
    <t xml:space="preserve">Controlled Orbit</t>
  </si>
  <si>
    <t xml:space="preserve">Proceed with controls</t>
  </si>
  <si>
    <t xml:space="preserve">Average EGI</t>
  </si>
  <si>
    <t xml:space="preserve">Edge Orbit</t>
  </si>
  <si>
    <t xml:space="preserve">Pilot / limited production</t>
  </si>
  <si>
    <t xml:space="preserve">Average SMI</t>
  </si>
  <si>
    <t xml:space="preserve">Unstable Orbit</t>
  </si>
  <si>
    <t xml:space="preserve">Control uplift required</t>
  </si>
  <si>
    <t xml:space="preserve">Negative SMI Agents</t>
  </si>
  <si>
    <t xml:space="preserve">Critical Orbit</t>
  </si>
  <si>
    <t xml:space="preserve">Do not deploy</t>
  </si>
  <si>
    <t xml:space="preserve">ABOM Missing</t>
  </si>
  <si>
    <t xml:space="preserve">Threat Model Required</t>
  </si>
  <si>
    <t xml:space="preserve">Risk Acceptance Required</t>
  </si>
  <si>
    <t xml:space="preserve">Capped by Rule</t>
  </si>
  <si>
    <t xml:space="preserve">Agent Snapshot</t>
  </si>
  <si>
    <t xml:space="preserve">Agent</t>
  </si>
  <si>
    <t xml:space="preserve">Domain</t>
  </si>
  <si>
    <t xml:space="preserve">AFI</t>
  </si>
  <si>
    <t xml:space="preserve">EGI</t>
  </si>
  <si>
    <t xml:space="preserve">SMI</t>
  </si>
  <si>
    <t xml:space="preserve">Final Orbit</t>
  </si>
  <si>
    <t xml:space="preserve">Rule Fired</t>
  </si>
  <si>
    <t xml:space="preserve">Next Uplift</t>
  </si>
  <si>
    <t xml:space="preserve">ASF Agentic System Instance Assessment v1.0 - Initial Public Release</t>
  </si>
  <si>
    <t xml:space="preserve">Enter force/gravity scores for the deployed agentic system instance. Formulas compute AFI, EGI, SMI, orbit, and action.</t>
  </si>
  <si>
    <t xml:space="preserve">Agent Name</t>
  </si>
  <si>
    <t xml:space="preserve">Domain Overlay</t>
  </si>
  <si>
    <t xml:space="preserve">Deployment Zone</t>
  </si>
  <si>
    <t xml:space="preserve">Scoring Mode</t>
  </si>
  <si>
    <t xml:space="preserve">Decision Autonomy</t>
  </si>
  <si>
    <t xml:space="preserve">Decision Velocity</t>
  </si>
  <si>
    <t xml:space="preserve">Operational Reach</t>
  </si>
  <si>
    <t xml:space="preserve">Operational Criticality</t>
  </si>
  <si>
    <t xml:space="preserve">Adaptability</t>
  </si>
  <si>
    <t xml:space="preserve">Collaboration Complexity</t>
  </si>
  <si>
    <t xml:space="preserve">Persistence and Memory</t>
  </si>
  <si>
    <t xml:space="preserve">Identity</t>
  </si>
  <si>
    <t xml:space="preserve">Authorization</t>
  </si>
  <si>
    <t xml:space="preserve">Policy Enforcement</t>
  </si>
  <si>
    <t xml:space="preserve">Observability</t>
  </si>
  <si>
    <t xml:space="preserve">Governance and Lifecycle</t>
  </si>
  <si>
    <t xml:space="preserve">Recovery and Resilience</t>
  </si>
  <si>
    <t xml:space="preserve">Assurance and Evaluation</t>
  </si>
  <si>
    <t xml:space="preserve">Min Evidence Tier</t>
  </si>
  <si>
    <t xml:space="preserve">Evidence Warning</t>
  </si>
  <si>
    <t xml:space="preserve">SMI Orbit</t>
  </si>
  <si>
    <t xml:space="preserve">Deployment Decision</t>
  </si>
  <si>
    <t xml:space="preserve">ABOM Complete</t>
  </si>
  <si>
    <t xml:space="preserve">Weakest Gravity</t>
  </si>
  <si>
    <t xml:space="preserve">Highest Force</t>
  </si>
  <si>
    <t xml:space="preserve">Next Control Uplift</t>
  </si>
  <si>
    <t xml:space="preserve">Non-Compensatory Ceiling</t>
  </si>
  <si>
    <t xml:space="preserve">Threat Model Completed</t>
  </si>
  <si>
    <t xml:space="preserve">Review Date</t>
  </si>
  <si>
    <t xml:space="preserve">Documentation Assistant</t>
  </si>
  <si>
    <t xml:space="preserve">Knowledge / Documentation</t>
  </si>
  <si>
    <t xml:space="preserve">Assisted Zone</t>
  </si>
  <si>
    <t xml:space="preserve">Basic</t>
  </si>
  <si>
    <t xml:space="preserve">Yes</t>
  </si>
  <si>
    <t xml:space="preserve">2026-09-30</t>
  </si>
  <si>
    <t xml:space="preserve">Client-Request Automation Agent</t>
  </si>
  <si>
    <t xml:space="preserve">Financial Operations</t>
  </si>
  <si>
    <t xml:space="preserve">Governed Operations Zone</t>
  </si>
  <si>
    <t xml:space="preserve">Kubernetes Deployment Agent</t>
  </si>
  <si>
    <t xml:space="preserve">Software Delivery</t>
  </si>
  <si>
    <t xml:space="preserve">2026-08-31</t>
  </si>
  <si>
    <t xml:space="preserve">Multi-Agent SDLC Workflow</t>
  </si>
  <si>
    <t xml:space="preserve">Multi-Agent SDLC</t>
  </si>
  <si>
    <t xml:space="preserve">No</t>
  </si>
  <si>
    <t xml:space="preserve">Autonomous Production Remediation Agent</t>
  </si>
  <si>
    <t xml:space="preserve">Cloud / Infrastructure</t>
  </si>
  <si>
    <t xml:space="preserve">Autonomous Operations Zone</t>
  </si>
  <si>
    <t xml:space="preserve">2026-07-31</t>
  </si>
  <si>
    <t xml:space="preserve">Advanced Mode Weights</t>
  </si>
  <si>
    <t xml:space="preserve">Weights are applied only when Scoring Mode = Advanced</t>
  </si>
  <si>
    <t xml:space="preserve">API Governance</t>
  </si>
  <si>
    <t xml:space="preserve">Security Operations</t>
  </si>
  <si>
    <t xml:space="preserve">Customer Service</t>
  </si>
  <si>
    <t xml:space="preserve">Regulated Data</t>
  </si>
  <si>
    <t xml:space="preserve">Agentic Force Index (AFI) Rubric</t>
  </si>
  <si>
    <t xml:space="preserve">Score each dimension from 0 to 5</t>
  </si>
  <si>
    <t xml:space="preserve">Dimension</t>
  </si>
  <si>
    <t xml:space="preserve">0</t>
  </si>
  <si>
    <t xml:space="preserve">1</t>
  </si>
  <si>
    <t xml:space="preserve">2</t>
  </si>
  <si>
    <t xml:space="preserve">3</t>
  </si>
  <si>
    <t xml:space="preserve">4</t>
  </si>
  <si>
    <t xml:space="preserve">5</t>
  </si>
  <si>
    <t xml:space="preserve">No decision capability</t>
  </si>
  <si>
    <t xml:space="preserve">Suggests actions only</t>
  </si>
  <si>
    <t xml:space="preserve">Recommends for approval</t>
  </si>
  <si>
    <t xml:space="preserve">Executes after human approval</t>
  </si>
  <si>
    <t xml:space="preserve">Executes under policy approval</t>
  </si>
  <si>
    <t xml:space="preserve">Executes independently within delegated authority</t>
  </si>
  <si>
    <t xml:space="preserve">No decisions</t>
  </si>
  <si>
    <t xml:space="preserve">Occasional/manual</t>
  </si>
  <si>
    <t xml:space="preserve">Daily/batch</t>
  </si>
  <si>
    <t xml:space="preserve">Hourly/event-driven</t>
  </si>
  <si>
    <t xml:space="preserve">Near-real-time</t>
  </si>
  <si>
    <t xml:space="preserve">Continuous autonomous loop</t>
  </si>
  <si>
    <t xml:space="preserve">No system access
POPULATION: No consumers</t>
  </si>
  <si>
    <t xml:space="preserve">Single user workspace
POPULATION: Single user</t>
  </si>
  <si>
    <t xml:space="preserve">Single application or repository
POPULATION: Single team</t>
  </si>
  <si>
    <t xml:space="preserve">Multiple apps in one domain
POPULATION: Single business unit</t>
  </si>
  <si>
    <t xml:space="preserve">Multiple domains or business units
POPULATION: Multiple business units</t>
  </si>
  <si>
    <t xml:space="preserve">Enterprise-wide or external ecosystem
POPULATION: Enterprise-wide, customer-facing, or external</t>
  </si>
  <si>
    <t xml:space="preserve">No impact</t>
  </si>
  <si>
    <t xml:space="preserve">Low/cosmetic</t>
  </si>
  <si>
    <t xml:space="preserve">Team productivity</t>
  </si>
  <si>
    <t xml:space="preserve">Application/workflow</t>
  </si>
  <si>
    <t xml:space="preserve">Production/customer/security</t>
  </si>
  <si>
    <t xml:space="preserve">Financial/regulatory/safety/enterprise-critical</t>
  </si>
  <si>
    <t xml:space="preserve">No adaptation</t>
  </si>
  <si>
    <t xml:space="preserve">Static prompt/fixed workflow</t>
  </si>
  <si>
    <t xml:space="preserve">Chooses predefined paths</t>
  </si>
  <si>
    <t xml:space="preserve">Generates dynamic plans</t>
  </si>
  <si>
    <t xml:space="preserve">Learns from feedback/memory</t>
  </si>
  <si>
    <t xml:space="preserve">Discovers tools/self-optimizes</t>
  </si>
  <si>
    <t xml:space="preserve">No collaboration</t>
  </si>
  <si>
    <t xml:space="preserve">Single-agent</t>
  </si>
  <si>
    <t xml:space="preserve">Human-agent</t>
  </si>
  <si>
    <t xml:space="preserve">Multi-agent fixed roles</t>
  </si>
  <si>
    <t xml:space="preserve">Dynamic handoffs</t>
  </si>
  <si>
    <t xml:space="preserve">Swarm-like/emergent</t>
  </si>
  <si>
    <t xml:space="preserve">No persistence</t>
  </si>
  <si>
    <t xml:space="preserve">Single-session</t>
  </si>
  <si>
    <t xml:space="preserve">Short-term task memory</t>
  </si>
  <si>
    <t xml:space="preserve">Long-lived scoped memory</t>
  </si>
  <si>
    <t xml:space="preserve">Cross-session memory</t>
  </si>
  <si>
    <t xml:space="preserve">Enterprise/self-maintained memory</t>
  </si>
  <si>
    <t xml:space="preserve">Operational Reach — dual measure</t>
  </si>
  <si>
    <t xml:space="preserve">Score the WIDER of system breadth and consumer population. An agent touching one application but serving an entire enterprise has enterprise reach. Where the two measures differ, record which one drove the score. An agent serving external customers scores 5 on population regardless of how few systems it touches.</t>
  </si>
  <si>
    <t xml:space="preserve">Enterprise Gravity Index (EGI) Rubric</t>
  </si>
  <si>
    <t xml:space="preserve">Score only controls that are present, well-designed, and evidenced</t>
  </si>
  <si>
    <t xml:space="preserve">No distinct identity</t>
  </si>
  <si>
    <t xml:space="preserve">Shared user/service account</t>
  </si>
  <si>
    <t xml:space="preserve">Dedicated service identity</t>
  </si>
  <si>
    <t xml:space="preserve">Workload identity with ownership</t>
  </si>
  <si>
    <t xml:space="preserve">Short-lived credentials + strong auth</t>
  </si>
  <si>
    <t xml:space="preserve">Cryptographic identity + continuous verification</t>
  </si>
  <si>
    <t xml:space="preserve">No boundary</t>
  </si>
  <si>
    <t xml:space="preserve">Broad static access</t>
  </si>
  <si>
    <t xml:space="preserve">Role-based access</t>
  </si>
  <si>
    <t xml:space="preserve">Least privilege by tool/workflow</t>
  </si>
  <si>
    <t xml:space="preserve">Context-aware authorization</t>
  </si>
  <si>
    <t xml:space="preserve">Dynamic policy-driven JIT access</t>
  </si>
  <si>
    <t xml:space="preserve">None</t>
  </si>
  <si>
    <t xml:space="preserve">Human guidelines only</t>
  </si>
  <si>
    <t xml:space="preserve">Static config checks</t>
  </si>
  <si>
    <t xml:space="preserve">CI/CD or pre-execution checks</t>
  </si>
  <si>
    <t xml:space="preserve">Runtime policy enforcement</t>
  </si>
  <si>
    <t xml:space="preserve">Adaptive risk-based policy</t>
  </si>
  <si>
    <t xml:space="preserve">No logs</t>
  </si>
  <si>
    <t xml:space="preserve">Basic application logs</t>
  </si>
  <si>
    <t xml:space="preserve">Tool-call logs</t>
  </si>
  <si>
    <t xml:space="preserve">Prompt/plan/action traces</t>
  </si>
  <si>
    <t xml:space="preserve">End-to-end traceability</t>
  </si>
  <si>
    <t xml:space="preserve">Audit-grade decision provenance</t>
  </si>
  <si>
    <t xml:space="preserve">No inventory</t>
  </si>
  <si>
    <t xml:space="preserve">Informal ownership</t>
  </si>
  <si>
    <t xml:space="preserve">Agent catalog/registry</t>
  </si>
  <si>
    <t xml:space="preserve">Lifecycle approval workflow</t>
  </si>
  <si>
    <t xml:space="preserve">Version/certification/deprecation</t>
  </si>
  <si>
    <t xml:space="preserve">Control plane for agents/tools/models/memory/policies</t>
  </si>
  <si>
    <t xml:space="preserve">No recovery</t>
  </si>
  <si>
    <t xml:space="preserve">Manual intervention</t>
  </si>
  <si>
    <t xml:space="preserve">Basic rollback</t>
  </si>
  <si>
    <t xml:space="preserve">Kill switch/circuit breaker</t>
  </si>
  <si>
    <t xml:space="preserve">Automated rollback + human takeover</t>
  </si>
  <si>
    <t xml:space="preserve">Blast-radius isolation + recovery drills</t>
  </si>
  <si>
    <t xml:space="preserve">No evaluation</t>
  </si>
  <si>
    <t xml:space="preserve">Manual pre-release testing</t>
  </si>
  <si>
    <t xml:space="preserve">Basic prompt/output eval</t>
  </si>
  <si>
    <t xml:space="preserve">Scenario eval + red team</t>
  </si>
  <si>
    <t xml:space="preserve">Runtime eval + drift detection</t>
  </si>
  <si>
    <t xml:space="preserve">Continuous assurance across policy/behavior/security/outcomes</t>
  </si>
  <si>
    <t xml:space="preserve">Evidence Tiers</t>
  </si>
  <si>
    <t xml:space="preserve">EGI scores above 3 require Tier 3+ evidence</t>
  </si>
  <si>
    <t xml:space="preserve">Tier</t>
  </si>
  <si>
    <t xml:space="preserve">Name</t>
  </si>
  <si>
    <t xml:space="preserve">Meaning</t>
  </si>
  <si>
    <t xml:space="preserve">Examples</t>
  </si>
  <si>
    <t xml:space="preserve">Claimed</t>
  </si>
  <si>
    <t xml:space="preserve">Claimed, no evidence</t>
  </si>
  <si>
    <t xml:space="preserve">Verbal statement, slide, unvalidated design claim</t>
  </si>
  <si>
    <t xml:space="preserve">Documented</t>
  </si>
  <si>
    <t xml:space="preserve">Documented design</t>
  </si>
  <si>
    <t xml:space="preserve">Architecture doc, policy draft, decision record</t>
  </si>
  <si>
    <t xml:space="preserve">Implemented</t>
  </si>
  <si>
    <t xml:space="preserve">Implemented control</t>
  </si>
  <si>
    <t xml:space="preserve">Configured identity, gateway, policy, logging, workflow</t>
  </si>
  <si>
    <t xml:space="preserve">Tested</t>
  </si>
  <si>
    <t xml:space="preserve">Tested control</t>
  </si>
  <si>
    <t xml:space="preserve">Validation result, policy test, rollback test, drill</t>
  </si>
  <si>
    <t xml:space="preserve">Runtime Verified</t>
  </si>
  <si>
    <t xml:space="preserve">Runtime-verified control</t>
  </si>
  <si>
    <t xml:space="preserve">Production trace, policy decision log, audit event</t>
  </si>
  <si>
    <t xml:space="preserve">Continuous Audit</t>
  </si>
  <si>
    <t xml:space="preserve">Continuously monitored and audited</t>
  </si>
  <si>
    <t xml:space="preserve">Dashboards, recurring evidence, automated checks</t>
  </si>
  <si>
    <t xml:space="preserve">Rule</t>
  </si>
  <si>
    <t xml:space="preserve">Applies To</t>
  </si>
  <si>
    <t xml:space="preserve">Requirement</t>
  </si>
  <si>
    <t xml:space="preserve">Notes</t>
  </si>
  <si>
    <t xml:space="preserve">EGI &gt; 3</t>
  </si>
  <si>
    <t xml:space="preserve">Any EGI dimension</t>
  </si>
  <si>
    <t xml:space="preserve">Tier 3+ evidence required</t>
  </si>
  <si>
    <t xml:space="preserve">Design intent is not enough</t>
  </si>
  <si>
    <t xml:space="preserve">Production-impacting agent</t>
  </si>
  <si>
    <t xml:space="preserve">Policy, Observability, Recovery, Assurance</t>
  </si>
  <si>
    <t xml:space="preserve">Tier 4+ evidence required to move beyond Edge Orbit</t>
  </si>
  <si>
    <t xml:space="preserve">Runtime proof expected</t>
  </si>
  <si>
    <t xml:space="preserve">ABOM - System Boundary</t>
  </si>
  <si>
    <t xml:space="preserve">Defines model, runtime, memory, tools/MCP, identity, permissions, policies, approvals, and operating context.</t>
  </si>
  <si>
    <t xml:space="preserve">Category</t>
  </si>
  <si>
    <t xml:space="preserve">Required Information</t>
  </si>
  <si>
    <t xml:space="preserve">Owner</t>
  </si>
  <si>
    <t xml:space="preserve">Evidence Link / Location</t>
  </si>
  <si>
    <t xml:space="preserve">Status</t>
  </si>
  <si>
    <t xml:space="preserve">Control Responsibility</t>
  </si>
  <si>
    <t xml:space="preserve">Agentic System Instance</t>
  </si>
  <si>
    <t xml:space="preserve">Name, version, owner, purpose, business domain, assessed context</t>
  </si>
  <si>
    <t xml:space="preserve">Model</t>
  </si>
  <si>
    <t xml:space="preserve">Provider, model, deployment mode, approval status</t>
  </si>
  <si>
    <t xml:space="preserve">Runtime</t>
  </si>
  <si>
    <t xml:space="preserve">Agent framework, orchestrator, hosting environment</t>
  </si>
  <si>
    <t xml:space="preserve">Prompts</t>
  </si>
  <si>
    <t xml:space="preserve">System prompts, task prompts, prompt versioning</t>
  </si>
  <si>
    <t xml:space="preserve">Tools / MCP Servers</t>
  </si>
  <si>
    <t xml:space="preserve">APIs, MCP servers, plugins, scripts, functions, workflows; read/write capability, tool risk level, reversibility</t>
  </si>
  <si>
    <t xml:space="preserve">Data Sources</t>
  </si>
  <si>
    <t xml:space="preserve">KBs, vector stores, databases, files, SaaS systems</t>
  </si>
  <si>
    <t xml:space="preserve">Memory</t>
  </si>
  <si>
    <t xml:space="preserve">Session, short-term, long-term, enterprise memory</t>
  </si>
  <si>
    <t xml:space="preserve">Agent identity, user delegation, service identity, on-behalf-of authority</t>
  </si>
  <si>
    <t xml:space="preserve">Permissions, scopes, roles, environments, JIT access, delegated authority model</t>
  </si>
  <si>
    <t xml:space="preserve">Policies</t>
  </si>
  <si>
    <t xml:space="preserve">Policy rules, enforcement points, exceptions, tool/action policies</t>
  </si>
  <si>
    <t xml:space="preserve">Logs, traces, audit store, dashboards, prompt-plan-tool-action traces</t>
  </si>
  <si>
    <t xml:space="preserve">Recovery</t>
  </si>
  <si>
    <t xml:space="preserve">Rollback, kill switch, circuit breakers, compensating actions, reversibility limits</t>
  </si>
  <si>
    <t xml:space="preserve">Assurance</t>
  </si>
  <si>
    <t xml:space="preserve">Evaluations, red-team tests, runtime monitors</t>
  </si>
  <si>
    <t xml:space="preserve">Dependencies</t>
  </si>
  <si>
    <t xml:space="preserve">External services, gateways, brokers, registries, MCP servers, connector dependencies</t>
  </si>
  <si>
    <t xml:space="preserve">Review</t>
  </si>
  <si>
    <t xml:space="preserve">Last review, next review, approver</t>
  </si>
  <si>
    <t xml:space="preserve">System Boundary</t>
  </si>
  <si>
    <t xml:space="preserve">Scope of the assessed agentic system instance: runtime, tools, memory, identity, deployment context</t>
  </si>
  <si>
    <t xml:space="preserve">Tool / MCP Classification</t>
  </si>
  <si>
    <t xml:space="preserve">For each tool/MCP: data sensitivity, action impact, reversibility, auth model, auditability, abuse potential</t>
  </si>
  <si>
    <t xml:space="preserve">Action Authority</t>
  </si>
  <si>
    <t xml:space="preserve">Read-only, draft-only, human-approved, policy-approved, or independently executed</t>
  </si>
  <si>
    <t xml:space="preserve">Operating Context</t>
  </si>
  <si>
    <t xml:space="preserve">Environment, users, approval model, delegated authority, business process, regulatory context</t>
  </si>
  <si>
    <t xml:space="preserve">Control Responsibility — recorded per EGI dimension where it differs</t>
  </si>
  <si>
    <t xml:space="preserve">Self-operated</t>
  </si>
  <si>
    <t xml:space="preserve">The assessing organization implements and can change the control.</t>
  </si>
  <si>
    <t xml:space="preserve">Platform-operated</t>
  </si>
  <si>
    <t xml:space="preserve">An internal platform team operates the control on the assessing team's behalf.</t>
  </si>
  <si>
    <t xml:space="preserve">Vendor-operated</t>
  </si>
  <si>
    <t xml:space="preserve">A third party operates it. The organization can influence it only contractually.</t>
  </si>
  <si>
    <t xml:space="preserve">Does NOT affect AFI, EGI, SMI or Orbit. A weak control presents the same risk whether built or bought; scoring it more favourably would reward the absence of remediation capability. Control Responsibility routes REMEDIATION only.</t>
  </si>
  <si>
    <t xml:space="preserve">ASF Threat Model Gate</t>
  </si>
  <si>
    <t xml:space="preserve">Required for Edge, Unstable, or Critical Orbit agents, and for any agent with production action authority, sensitive-data access, multi-agent handoffs, long-term memory, or external exposure.</t>
  </si>
  <si>
    <t xml:space="preserve">Threat Category</t>
  </si>
  <si>
    <t xml:space="preserve">Scenario / Question</t>
  </si>
  <si>
    <t xml:space="preserve">Likelihood</t>
  </si>
  <si>
    <t xml:space="preserve">Impact</t>
  </si>
  <si>
    <t xml:space="preserve">Mitigation</t>
  </si>
  <si>
    <t xml:space="preserve">Prompt injection</t>
  </si>
  <si>
    <t xml:space="preserve">Can user or retrieved content override agent instructions or policy boundaries?</t>
  </si>
  <si>
    <t xml:space="preserve">Tool misuse</t>
  </si>
  <si>
    <t xml:space="preserve">Can the agent invoke tools in unintended order, scope, or context?</t>
  </si>
  <si>
    <t xml:space="preserve">Excessive agency</t>
  </si>
  <si>
    <t xml:space="preserve">Does the agent have broader permissions than its task requires?</t>
  </si>
  <si>
    <t xml:space="preserve">Identity abuse</t>
  </si>
  <si>
    <t xml:space="preserve">Can agent identity or delegated user authority be misused?</t>
  </si>
  <si>
    <t xml:space="preserve">Memory poisoning</t>
  </si>
  <si>
    <t xml:space="preserve">Can malicious content persist and influence future behavior?</t>
  </si>
  <si>
    <t xml:space="preserve">Context poisoning</t>
  </si>
  <si>
    <t xml:space="preserve">Can retrieved content manipulate plan or tool choice?</t>
  </si>
  <si>
    <t xml:space="preserve">Data exfiltration</t>
  </si>
  <si>
    <t xml:space="preserve">Can retrieved or generated content leak sensitive data?</t>
  </si>
  <si>
    <t xml:space="preserve">Inter-agent manipulation</t>
  </si>
  <si>
    <t xml:space="preserve">Can one agent manipulate another through handoff, context, or memory?</t>
  </si>
  <si>
    <t xml:space="preserve">Policy evasion</t>
  </si>
  <si>
    <t xml:space="preserve">Can the agent bypass gateway, broker, or policy enforcement?</t>
  </si>
  <si>
    <t xml:space="preserve">Cascading failure</t>
  </si>
  <si>
    <t xml:space="preserve">Can one action trigger uncontrolled downstream impact?</t>
  </si>
  <si>
    <t xml:space="preserve">Recovery failure</t>
  </si>
  <si>
    <t xml:space="preserve">Can the enterprise stop, reverse, or contain action fast enough?</t>
  </si>
  <si>
    <t xml:space="preserve">Domain Overlays</t>
  </si>
  <si>
    <t xml:space="preserve">Adjust scoring emphasis, evidence expectations, threat scenarios, and uplift actions</t>
  </si>
  <si>
    <t xml:space="preserve">Overlay</t>
  </si>
  <si>
    <t xml:space="preserve">Use When</t>
  </si>
  <si>
    <t xml:space="preserve">Higher Force Weights</t>
  </si>
  <si>
    <t xml:space="preserve">Higher Gravity Weights</t>
  </si>
  <si>
    <t xml:space="preserve">Required Evidence</t>
  </si>
  <si>
    <t xml:space="preserve">Reviewing, coding, testing, merging, deploying software</t>
  </si>
  <si>
    <t xml:space="preserve">Autonomy, Criticality, Reach, Collaboration</t>
  </si>
  <si>
    <t xml:space="preserve">Policy, Recovery, Observability, Assurance</t>
  </si>
  <si>
    <t xml:space="preserve">Repo permissions, CI/CD logs, policy-as-code, rollback validation</t>
  </si>
  <si>
    <t xml:space="preserve">Provisioning, configuring, remediating cloud/platform systems</t>
  </si>
  <si>
    <t xml:space="preserve">Autonomy, Reach, Criticality, Velocity</t>
  </si>
  <si>
    <t xml:space="preserve">Identity, Authorization, Policy, Recovery</t>
  </si>
  <si>
    <t xml:space="preserve">IaC policy, workload identity, namespace/account scoping, recovery drills</t>
  </si>
  <si>
    <t xml:space="preserve">Triaging alerts, changing controls, incident response</t>
  </si>
  <si>
    <t xml:space="preserve">Autonomy, Criticality, Velocity</t>
  </si>
  <si>
    <t xml:space="preserve">Identity, Policy, Recovery, Observability</t>
  </si>
  <si>
    <t xml:space="preserve">SOC playbooks, evidence logs, credential boundaries, containment controls</t>
  </si>
  <si>
    <t xml:space="preserve">Reviewing specs, attaching policies, publishing APIs</t>
  </si>
  <si>
    <t xml:space="preserve">Reach, Criticality, Autonomy</t>
  </si>
  <si>
    <t xml:space="preserve">Policy, Observability, Governance, Authorization</t>
  </si>
  <si>
    <t xml:space="preserve">Catalog workflow, Spectral/OPA rules, gateway policy binding records</t>
  </si>
  <si>
    <t xml:space="preserve">Using CRM, case data, external customer communications</t>
  </si>
  <si>
    <t xml:space="preserve">Reach, Criticality, Memory</t>
  </si>
  <si>
    <t xml:space="preserve">Authorization, Assurance, Observability</t>
  </si>
  <si>
    <t xml:space="preserve">PII controls, response review, escalation logs</t>
  </si>
  <si>
    <t xml:space="preserve">Payments, invoices, reconciliation, approvals</t>
  </si>
  <si>
    <t xml:space="preserve">Criticality, Autonomy, Reach</t>
  </si>
  <si>
    <t xml:space="preserve">Authorization, Assurance, Governance</t>
  </si>
  <si>
    <t xml:space="preserve">Segregation of duties, approval records, fraud controls</t>
  </si>
  <si>
    <t xml:space="preserve">Health, financial, legal, regulated data</t>
  </si>
  <si>
    <t xml:space="preserve">Criticality, Reach, Memory</t>
  </si>
  <si>
    <t xml:space="preserve">Authorization, Observability, Assurance</t>
  </si>
  <si>
    <t xml:space="preserve">Data classification, audit-grade logs, regulatory review</t>
  </si>
  <si>
    <t xml:space="preserve">Planner, coder, tester, reviewer, release handoffs</t>
  </si>
  <si>
    <t xml:space="preserve">Collaboration, Adaptability, Reach</t>
  </si>
  <si>
    <t xml:space="preserve">Observability, Policy, Governance</t>
  </si>
  <si>
    <t xml:space="preserve">Handoff traces, shared memory controls, conflict resolution</t>
  </si>
  <si>
    <t xml:space="preserve">Read-only enterprise knowledge assistants</t>
  </si>
  <si>
    <t xml:space="preserve">Reach, Memory</t>
  </si>
  <si>
    <t xml:space="preserve">Identity, Authorization, Observability</t>
  </si>
  <si>
    <t xml:space="preserve">Approved sources, access logs, output disclaimers where needed</t>
  </si>
  <si>
    <t xml:space="preserve">ASF v1.1 — Non-Compensatory Rules</t>
  </si>
  <si>
    <t xml:space="preserve">AFI and EGI are compensatory: a high score in one dimension offsets low scores in others. Some conditions are not matters of degree. These rules apply AFTER the SMI orbit is determined and may only LOWER a classification, never raise it. Final Orbit is the more restrictive of the SMI Orbit and any ceiling below.</t>
  </si>
  <si>
    <t xml:space="preserve">Trigger</t>
  </si>
  <si>
    <t xml:space="preserve">Ceiling</t>
  </si>
  <si>
    <t xml:space="preserve">Rationale</t>
  </si>
  <si>
    <t xml:space="preserve">R1 — Concentrated Force Gate</t>
  </si>
  <si>
    <t xml:space="preserve">Decision Autonomy &gt;= 4 AND Operational Criticality &gt;= 4</t>
  </si>
  <si>
    <t xml:space="preserve">Conjunctive by design. Autonomy without blast radius is a sandboxed agent. Blast radius without autonomy is a consequential workflow under human approval. Neither alone warrants a ceiling. Their combination is the condition a margin cannot safely offset.</t>
  </si>
  <si>
    <t xml:space="preserve">R2 — Mandatory Control Floor</t>
  </si>
  <si>
    <t xml:space="preserve">Governed or Autonomous Operations Zone, Decision Autonomy &gt;= 3, and MIN(Identity, Authorization, Policy Enforcement) = 0</t>
  </si>
  <si>
    <t xml:space="preserve">Identity, Authorization and Policy Enforcement are prerequisites, not contributors. Observability, Recovery and Assurance describe how well behaviour can be seen, reversed and validated; they cannot substitute for the absence of an identity boundary or an enforcement point.</t>
  </si>
  <si>
    <t xml:space="preserve">...same trigger, MIN(Identity, Authorization, Policy Enforcement) = 1</t>
  </si>
  <si>
    <t xml:space="preserve">A nominal control is not an absent one, but it is not a basis for scale.</t>
  </si>
  <si>
    <t xml:space="preserve">R3 — Evidence Gate</t>
  </si>
  <si>
    <t xml:space="preserve">Governed or Autonomous Operations Zone and Min Evidence Tier &lt; 4</t>
  </si>
  <si>
    <t xml:space="preserve">Formalises the Evidence Rule already stated in ASF v1.0 section 10, which the v1.0 workbook implemented only as an advisory string that did not affect classification. This is a ceiling on classification, not an adjustment to EGI: the computed indices remain as scored so the evidence gap stays visible rather than absorbed.</t>
  </si>
  <si>
    <t xml:space="preserve">Known approximation in R3</t>
  </si>
  <si>
    <t xml:space="preserve">ASF v1.0 section 10 states the rule per dimension — Tier 4 evidence for Policy Enforcement, Observability, Recovery and Assurance. This workbook holds one scalar Min Evidence Tier per agent, so R3 fires whenever ANY dimension falls below Tier 4, not only the four named. It is therefore conservative: it may cap an agent whose four gated dimensions are all Tier 4 while an ungated dimension is lower. Per-dimension evidence tiers are v2 work. The approximation is recorded here rather than hidden in a formula.</t>
  </si>
  <si>
    <t xml:space="preserve">Reading the result</t>
  </si>
  <si>
    <t xml:space="preserve">Column</t>
  </si>
  <si>
    <t xml:space="preserve">X — SMI Orbit</t>
  </si>
  <si>
    <t xml:space="preserve">Classification from SMI alone. Unchanged from v1.0.</t>
  </si>
  <si>
    <t xml:space="preserve">AF — Non-Compensatory Ceiling</t>
  </si>
  <si>
    <t xml:space="preserve">Worst orbit permitted by R1, R2, R3. 'None' where no rule fires.</t>
  </si>
  <si>
    <t xml:space="preserve">AG — Rule Fired</t>
  </si>
  <si>
    <t xml:space="preserve">Which rule applied and on which dimension. Blank where none fired.</t>
  </si>
  <si>
    <t xml:space="preserve">AH — Final Orbit</t>
  </si>
  <si>
    <t xml:space="preserve">The decision-bearing value. Deployment Decision, Threat Model Required and every Dashboard orbit count key off this column.</t>
  </si>
  <si>
    <t xml:space="preserve">Risk Acceptance Workflow</t>
  </si>
  <si>
    <t xml:space="preserve">Required when SMI is negative and deployment continues by exception</t>
  </si>
  <si>
    <t xml:space="preserve">Field</t>
  </si>
  <si>
    <t xml:space="preserve">Evidence / Notes</t>
  </si>
  <si>
    <t xml:space="preserve">Business Owner</t>
  </si>
  <si>
    <t xml:space="preserve">Named accountable business owner</t>
  </si>
  <si>
    <t xml:space="preserve">Technology Owner</t>
  </si>
  <si>
    <t xml:space="preserve">Named accountable technical owner</t>
  </si>
  <si>
    <t xml:space="preserve">Reason</t>
  </si>
  <si>
    <t xml:space="preserve">Why exception is needed</t>
  </si>
  <si>
    <t xml:space="preserve">Compensating Controls</t>
  </si>
  <si>
    <t xml:space="preserve">Controls that reduce exposure</t>
  </si>
  <si>
    <t xml:space="preserve">Expiration Date</t>
  </si>
  <si>
    <t xml:space="preserve">No open-ended exceptions</t>
  </si>
  <si>
    <t xml:space="preserve">Reassessment Date</t>
  </si>
  <si>
    <t xml:space="preserve">Required follow-up date</t>
  </si>
  <si>
    <t xml:space="preserve">Residual Risk</t>
  </si>
  <si>
    <t xml:space="preserve">Accepted residual risk statement</t>
  </si>
  <si>
    <t xml:space="preserve">Approval Record</t>
  </si>
  <si>
    <t xml:space="preserve">Governance approval evidence</t>
  </si>
  <si>
    <t xml:space="preserve">Decision</t>
  </si>
  <si>
    <t xml:space="preserve">Accept / Reject / Defer</t>
  </si>
  <si>
    <t xml:space="preserve">ASF Architecture Review Packet</t>
  </si>
  <si>
    <t xml:space="preserve">Use this checklist in architecture review board or AI governance review</t>
  </si>
  <si>
    <t xml:space="preserve">Review Item</t>
  </si>
  <si>
    <t xml:space="preserve">Required?</t>
  </si>
  <si>
    <t xml:space="preserve">Evidence / Link</t>
  </si>
  <si>
    <t xml:space="preserve">Agent profile and business context</t>
  </si>
  <si>
    <t xml:space="preserve">Agent Bill of Materials complete</t>
  </si>
  <si>
    <t xml:space="preserve">AFI, EGI, SMI, orbit classification</t>
  </si>
  <si>
    <t xml:space="preserve">Deployment zone and default decision</t>
  </si>
  <si>
    <t xml:space="preserve">Architecture diagram</t>
  </si>
  <si>
    <t xml:space="preserve">Tool/MCP inventory</t>
  </si>
  <si>
    <t xml:space="preserve">Required</t>
  </si>
  <si>
    <t xml:space="preserve">Classify tools/MCP servers by read/write capability, action impact, reversibility, auth model, and auditability.</t>
  </si>
  <si>
    <t xml:space="preserve">ABOM / Tool registry</t>
  </si>
  <si>
    <t xml:space="preserve">Data-source inventory</t>
  </si>
  <si>
    <t xml:space="preserve">Identity model</t>
  </si>
  <si>
    <t xml:space="preserve">Authorization model</t>
  </si>
  <si>
    <t xml:space="preserve">Policy enforcement model</t>
  </si>
  <si>
    <t xml:space="preserve">Observability model</t>
  </si>
  <si>
    <t xml:space="preserve">Recovery and rollback model</t>
  </si>
  <si>
    <t xml:space="preserve">Threat model and mitigation plan</t>
  </si>
  <si>
    <t xml:space="preserve">Evidence tier summary</t>
  </si>
  <si>
    <t xml:space="preserve">Open control gaps</t>
  </si>
  <si>
    <t xml:space="preserve">Risk acceptance record if applicable</t>
  </si>
  <si>
    <t xml:space="preserve">Reassessment date and triggers</t>
  </si>
  <si>
    <t xml:space="preserve">Deployment Gates</t>
  </si>
  <si>
    <t xml:space="preserve">Default deployment decision by orbit</t>
  </si>
  <si>
    <t xml:space="preserve">SMI Range</t>
  </si>
  <si>
    <t xml:space="preserve">Default Deployment Decision</t>
  </si>
  <si>
    <t xml:space="preserve">Minimum Required Action</t>
  </si>
  <si>
    <t xml:space="preserve">+40 to +100</t>
  </si>
  <si>
    <t xml:space="preserve">Approved for scale with monitoring</t>
  </si>
  <si>
    <t xml:space="preserve">Maintain evidence and reassessment cadence</t>
  </si>
  <si>
    <t xml:space="preserve">+15 to +39</t>
  </si>
  <si>
    <t xml:space="preserve">Approved with standard controls</t>
  </si>
  <si>
    <t xml:space="preserve">Proceed with standard governance controls</t>
  </si>
  <si>
    <t xml:space="preserve">-14 to +14</t>
  </si>
  <si>
    <t xml:space="preserve">Pilot, sandbox, or limited production only</t>
  </si>
  <si>
    <t xml:space="preserve">Architecture review and active control uplift</t>
  </si>
  <si>
    <t xml:space="preserve">-15 to -39</t>
  </si>
  <si>
    <t xml:space="preserve">Do not expand; control uplift required</t>
  </si>
  <si>
    <t xml:space="preserve">Increase gravity, reduce force, or formal exception</t>
  </si>
  <si>
    <t xml:space="preserve">-40 to -100</t>
  </si>
  <si>
    <t xml:space="preserve">Do not deploy without formal exception</t>
  </si>
  <si>
    <t xml:space="preserve">Executive risk acceptance and major control uplift</t>
  </si>
  <si>
    <t xml:space="preserve">Control Uplift Planner</t>
  </si>
  <si>
    <t xml:space="preserve">Recommended actions based on weakest Enterprise Gravity dimension</t>
  </si>
  <si>
    <t xml:space="preserve">Weakest Gravity Dimension</t>
  </si>
  <si>
    <t xml:space="preserve">Recommended Control Uplift</t>
  </si>
  <si>
    <t xml:space="preserve">Evidence Target</t>
  </si>
  <si>
    <t xml:space="preserve">If Vendor- or Platform-operated</t>
  </si>
  <si>
    <t xml:space="preserve">Assign dedicated workload identity; remove shared credentials; add ownership metadata.</t>
  </si>
  <si>
    <t xml:space="preserve">Tier 3+ identity test or Tier 4 runtime identity logs</t>
  </si>
  <si>
    <t xml:space="preserve">Request the capability from the vendor and record the commitment and date; or obtain contractual/attestation evidence sufficient to raise the evidence tier; or compensate outside the platform (e.g. enforce at an egress gateway you control); or reduce force instead of raising gravity by narrowing reach, criticality or autonomy; or accept the risk via the s13.1 workflow with expiry.</t>
  </si>
  <si>
    <t xml:space="preserve">Apply least privilege by tool, workflow, environment, and risk level; add JIT access where needed.</t>
  </si>
  <si>
    <t xml:space="preserve">Permission boundary evidence and access logs</t>
  </si>
  <si>
    <t xml:space="preserve">Add pre-execution and runtime policy checks; externalize policy decisions where practical.</t>
  </si>
  <si>
    <t xml:space="preserve">Policy-as-code tests and runtime decision logs</t>
  </si>
  <si>
    <t xml:space="preserve">Capture prompt, plan, tool-call, policy, approval, action, and outcome traces.</t>
  </si>
  <si>
    <t xml:space="preserve">End-to-end trace samples</t>
  </si>
  <si>
    <t xml:space="preserve">Register agent, model, tools, memory, and policies in catalog; define owner and lifecycle.</t>
  </si>
  <si>
    <t xml:space="preserve">Catalog record and approval workflow</t>
  </si>
  <si>
    <t xml:space="preserve">Add kill switch, rollback, circuit breaker, blast-radius isolation, and recovery drills.</t>
  </si>
  <si>
    <t xml:space="preserve">Rollback/kill-switch test evidence</t>
  </si>
  <si>
    <t xml:space="preserve">Add scenario tests, red-team tests, runtime evaluation, drift monitoring, and outcome validation.</t>
  </si>
  <si>
    <t xml:space="preserve">Evaluation reports and runtime monitor evidence</t>
  </si>
  <si>
    <t xml:space="preserve">Where every uplift path for a mandatory control is vendor-operated and no compensating control exists, the correct outcome is a reduction in force or a formal risk acceptance — not a more favourable score.</t>
  </si>
  <si>
    <t xml:space="preserve">Standards Alignment</t>
  </si>
  <si>
    <t xml:space="preserve">ASF complements existing risk, security, management-system, and policy frameworks</t>
  </si>
  <si>
    <t xml:space="preserve">Framework</t>
  </si>
  <si>
    <t xml:space="preserve">Primary Purpose</t>
  </si>
  <si>
    <t xml:space="preserve">ASF Relationship</t>
  </si>
  <si>
    <t xml:space="preserve">Source URL</t>
  </si>
  <si>
    <t xml:space="preserve">NIST AI RMF</t>
  </si>
  <si>
    <t xml:space="preserve">AI risk management through Govern, Map, Measure, Manage</t>
  </si>
  <si>
    <t xml:space="preserve">Agent-level stability scoring inside broader AI risk management</t>
  </si>
  <si>
    <t xml:space="preserve">https://airc.nist.gov/airmf-resources/airmf/5-sec-core/</t>
  </si>
  <si>
    <t xml:space="preserve">ISO/IEC 42001</t>
  </si>
  <si>
    <t xml:space="preserve">AI management-system requirements and guidance</t>
  </si>
  <si>
    <t xml:space="preserve">Architecture assessment method for agentic systems under AIMS</t>
  </si>
  <si>
    <t xml:space="preserve">https://www.iso.org/standard/42001</t>
  </si>
  <si>
    <t xml:space="preserve">OWASP Agentic AI</t>
  </si>
  <si>
    <t xml:space="preserve">Threats and mitigations for agentic AI</t>
  </si>
  <si>
    <t xml:space="preserve">Input to Assurance, Policy, and threat-model gates</t>
  </si>
  <si>
    <t xml:space="preserve">https://genai.owasp.org/resource/agentic-ai-threats-and-mitigations/</t>
  </si>
  <si>
    <t xml:space="preserve">OWASP Multi-Agent Threat Modeling</t>
  </si>
  <si>
    <t xml:space="preserve">Threat modeling for multi-agent systems</t>
  </si>
  <si>
    <t xml:space="preserve">Threat model gate for multi-agent and high-force agents</t>
  </si>
  <si>
    <t xml:space="preserve">https://genai.owasp.org/resource/multi-agentic-system-threat-modeling-guide-v1-0/</t>
  </si>
  <si>
    <t xml:space="preserve">OPA/Rego</t>
  </si>
  <si>
    <t xml:space="preserve">Policy-as-code and externalized policy decisions</t>
  </si>
  <si>
    <t xml:space="preserve">Enterprise Gravity component for policy enforcement</t>
  </si>
  <si>
    <t xml:space="preserve">https://openpolicyagent.org/docs/policy-language</t>
  </si>
  <si>
    <t xml:space="preserve">Zero Trust</t>
  </si>
  <si>
    <t xml:space="preserve">Continuous verification of access</t>
  </si>
  <si>
    <t xml:space="preserve">Extended to agent identity, context, memory, tools, and actions</t>
  </si>
  <si>
    <t xml:space="preserve">https://www.nist.gov/publications/zero-trust-architecture</t>
  </si>
  <si>
    <t xml:space="preserve">License</t>
  </si>
  <si>
    <t xml:space="preserve">© 2026 Sumir Arora. Licensed under Creative Commons Attribution 4.0 International (CC BY 4.0).</t>
  </si>
  <si>
    <t xml:space="preserve">ASF Workbook Change Log - v1.0 Initial Public Release</t>
  </si>
  <si>
    <t xml:space="preserve">Version history through v1.0 Initial Public Release</t>
  </si>
  <si>
    <t xml:space="preserve">Version</t>
  </si>
  <si>
    <t xml:space="preserve">Change</t>
  </si>
  <si>
    <t xml:space="preserve">0.2</t>
  </si>
  <si>
    <t xml:space="preserve">Added Basic and Advanced scoring modes</t>
  </si>
  <si>
    <t xml:space="preserve">Equal-weight scoring alone is not sufficient for production contexts</t>
  </si>
  <si>
    <t xml:space="preserve">Added Evidence Tiers</t>
  </si>
  <si>
    <t xml:space="preserve">EGI scores must be supported by control evidence</t>
  </si>
  <si>
    <t xml:space="preserve">Added ABOM template</t>
  </si>
  <si>
    <t xml:space="preserve">Agents need component and dependency inventory</t>
  </si>
  <si>
    <t xml:space="preserve">Added Threat Model gate</t>
  </si>
  <si>
    <t xml:space="preserve">High-force agents require security analysis</t>
  </si>
  <si>
    <t xml:space="preserve">Added Domain Overlays</t>
  </si>
  <si>
    <t xml:space="preserve">Different agent domains require different scoring emphasis</t>
  </si>
  <si>
    <t xml:space="preserve">Added Risk Acceptance workflow</t>
  </si>
  <si>
    <t xml:space="preserve">Negative SMI requires formal governance path</t>
  </si>
  <si>
    <t xml:space="preserve">Added Architecture Review Packet</t>
  </si>
  <si>
    <t xml:space="preserve">Makes ASF usable in ARB / governance review</t>
  </si>
  <si>
    <t xml:space="preserve">Added Deployment Gates</t>
  </si>
  <si>
    <t xml:space="preserve">Connects orbit to decision action</t>
  </si>
  <si>
    <t xml:space="preserve">Added dashboard warnings</t>
  </si>
  <si>
    <t xml:space="preserve">Surfaces governance debt, missing ABOM, threat model needs</t>
  </si>
  <si>
    <t xml:space="preserve">0.1</t>
  </si>
  <si>
    <t xml:space="preserve">Initial ASF workbook</t>
  </si>
  <si>
    <t xml:space="preserve">AFI, EGI, SMI, orbit, rubrics, standards map</t>
  </si>
  <si>
    <t xml:space="preserve">v0.3</t>
  </si>
  <si>
    <t xml:space="preserve">Added editorial hardening references and real worked example sheet.</t>
  </si>
  <si>
    <t xml:space="preserve">0.4</t>
  </si>
  <si>
    <t xml:space="preserve">Replaced real example with anonymized financial-services client-request automation agent and proofread publication package.</t>
  </si>
  <si>
    <t xml:space="preserve">Aligns whitepaper/workbook example with stronger executive-facing use case and removes API-change naming inconsistency.</t>
  </si>
  <si>
    <t xml:space="preserve">v0.4 Public RFC</t>
  </si>
  <si>
    <t xml:space="preserve">2026-07-06</t>
  </si>
  <si>
    <t xml:space="preserve">Aligned workbook sample rows with whitepaper summary values; added publication license/status metadata.</t>
  </si>
  <si>
    <t xml:space="preserve">v1.0</t>
  </si>
  <si>
    <t xml:space="preserve">Clarified ASF assessment unit as agentic system instance and expanded ABOM/tool-MCP boundary fields.</t>
  </si>
  <si>
    <t xml:space="preserve">Prevents misinterpretation that ASF scores a naked model or agent without tools, memory, identity, permissions, and context.</t>
  </si>
  <si>
    <t xml:space="preserve">Corrected the Threat Model gate to reference valid orbits (Edge, Unstable, Critical)</t>
  </si>
  <si>
    <t xml:space="preserve">Aligned the gate with the five-orbit taxonomy used across the Dashboard and Deployment Gates tabs</t>
  </si>
  <si>
    <t xml:space="preserve">v1.1</t>
  </si>
  <si>
    <t xml:space="preserve">2026-08</t>
  </si>
  <si>
    <t xml:space="preserve">Errata: Dashboard aggregates corrected from rows 5-9 to 5-104 (a sixth agent was excluded from every average and risk counter); IFS replaced with nested IF and XLOOKUP with INDEX/MATCH, since v1.0 stored both without the _xlfn. prefix and they resolved to a name error in Excel; weakest-gravity and highest-force now report tied dimensions; blank rows no longer display Evidence Warning OK. Scoring hardening: three non-compensatory rules added (concentrated force gate, mandatory control floor, evidence gate) with new columns AF Non-Compensatory Ceiling, AG Rule Fired and AH Final Orbit. Review Date moved from AF to AJ. AFI, EGI and SMI formulas unchanged; all five published worked examples retain their v1.0 orbit.</t>
  </si>
  <si>
    <t xml:space="preserve">Operational Reach rubric extended to score the wider of system breadth and consumer population; ABOM gains Control Responsibility (self/platform/vendor-operated) which routes remediation and does not affect scoring; Control Uplift Planner gains uplift paths for vendor-operated controls.</t>
  </si>
  <si>
    <t xml:space="preserve">ASF Real Worked Example - Agentic System Instance Assessment</t>
  </si>
  <si>
    <t xml:space="preserve">Representative financial-services client-servicing pattern; client, vendor, and architecture identifiers generalized.</t>
  </si>
  <si>
    <t xml:space="preserve">Interpretation</t>
  </si>
  <si>
    <t xml:space="preserve">Moderate-high force because the agent can touch regulated client and financial-servicing workflows.</t>
  </si>
  <si>
    <t xml:space="preserve">Meaningful gravity: strong identity, authorization, and runtime policy; weaker runtime assurance and recovery evidence.</t>
  </si>
  <si>
    <t xml:space="preserve">Edge Orbit: positive but thin stability margin.</t>
  </si>
  <si>
    <t xml:space="preserve">Pilot / limited production only</t>
  </si>
  <si>
    <t xml:space="preserve">Do not expand autonomy until runtime assurance, audit-grade decision provenance, and recovery evidence improve.</t>
  </si>
  <si>
    <t xml:space="preserve">ABOM Category</t>
  </si>
  <si>
    <t xml:space="preserve">Anonymized Contents</t>
  </si>
  <si>
    <t xml:space="preserve">Agent purpose</t>
  </si>
  <si>
    <t xml:space="preserve">Interpret client-servicing requests, retrieve client context, prepare or execute servicing actions, and route high-impact requests for advisor approval.</t>
  </si>
  <si>
    <t xml:space="preserve">Enterprise agent runtime integrated with bounded servicing-action catalog, tool broker, API gateway, and client-servicing workflow.</t>
  </si>
  <si>
    <t xml:space="preserve">Tools</t>
  </si>
  <si>
    <t xml:space="preserve">Servicing APIs with write access, CRM read access, document service, policy/risk classifier, advisor approval workflow, and notification channel.</t>
  </si>
  <si>
    <t xml:space="preserve">Data sources</t>
  </si>
  <si>
    <t xml:space="preserve">Client CRM and account systems containing regulated PII and financial data; approved servicing policy and procedure sources.</t>
  </si>
  <si>
    <t xml:space="preserve">Session and task memory only; no long-term, cross-client, or self-maintained enterprise memory.</t>
  </si>
  <si>
    <t xml:space="preserve">Identity and authorization</t>
  </si>
  <si>
    <t xml:space="preserve">Distinct agent identity with on-behalf-of delegation; tool and environment scopes enforced through gateway and broker controls.</t>
  </si>
  <si>
    <t xml:space="preserve">Explicit restrictions</t>
  </si>
  <si>
    <t xml:space="preserve">No autonomous high-impact financial action, no cross-client memory, no self-approved exceptions, and no bypass of advisor approval or policy gates.</t>
  </si>
  <si>
    <t xml:space="preserve">AFI Dimension</t>
  </si>
  <si>
    <t xml:space="preserve">Score</t>
  </si>
  <si>
    <t xml:space="preserve">Executes low-impact actions under policy; high-impact financial or client-impacting actions require explicit advisor approval.</t>
  </si>
  <si>
    <t xml:space="preserve">Event-driven decisions triggered by client-servicing requests.</t>
  </si>
  <si>
    <t xml:space="preserve">Touches servicing, CRM, document, and account-related APIs within one business domain.</t>
  </si>
  <si>
    <t xml:space="preserve">Incorrect action can affect regulated client financial records, account servicing, compliance exposure, and client trust.</t>
  </si>
  <si>
    <t xml:space="preserve">Generates plans dynamically over retrieved client context, bounded by a defined servicing-action catalog.</t>
  </si>
  <si>
    <t xml:space="preserve">Collaborates with advisors and workflow systems; no dynamic multi-agent coordination.</t>
  </si>
  <si>
    <t xml:space="preserve">Uses short-term task memory only; no long-term or cross-client memory.</t>
  </si>
  <si>
    <t xml:space="preserve">Total</t>
  </si>
  <si>
    <t xml:space="preserve">AFI = 21 / 35 x 100 = 60.0</t>
  </si>
  <si>
    <t xml:space="preserve">EGI Dimension</t>
  </si>
  <si>
    <t xml:space="preserve">Evidence Tier</t>
  </si>
  <si>
    <t xml:space="preserve">Evidence Example</t>
  </si>
  <si>
    <t xml:space="preserve">Distinct agent identity with strong authentication and on-behalf-of delegation; tested evidence required to sustain a 4.</t>
  </si>
  <si>
    <t xml:space="preserve">Least privilege by tool and environment, gateway-enforced, with delegated context carried through the request path.</t>
  </si>
  <si>
    <t xml:space="preserve">Runtime enforcement at the gateway with external inspection at defined control points; runtime-verified.</t>
  </si>
  <si>
    <t xml:space="preserve">Gateway and tool-call logs plus partial prompt, plan, and action traces; not yet full audit-grade end-to-end provenance.</t>
  </si>
  <si>
    <t xml:space="preserve">Catalogued with lifecycle approval and reviewed by AI risk, architecture, and change governance.</t>
  </si>
  <si>
    <t xml:space="preserve">Gateway kill switch and advisor approval gates exist; rollback or compensating control for executed financial actions is only partly tested.</t>
  </si>
  <si>
    <t xml:space="preserve">Pre-release scenario testing exists; no continuous runtime evaluation, drift detection, or outcome validation yet.</t>
  </si>
  <si>
    <t xml:space="preserve">-</t>
  </si>
  <si>
    <t xml:space="preserve">EGI = 23 / 35 x 100 = 66.0</t>
  </si>
  <si>
    <t xml:space="preserve">Control Uplift</t>
  </si>
  <si>
    <t xml:space="preserve">Add runtime evaluation for client-servicing decisions</t>
  </si>
  <si>
    <t xml:space="preserve">High-impact or ambiguous client requests should be evaluated at runtime before execution or approval routing.</t>
  </si>
  <si>
    <t xml:space="preserve">Increase observability to audit-grade decision provenance</t>
  </si>
  <si>
    <t xml:space="preserve">Reviewers should reconstruct initiating user, delegated authority, prompt, retrieved client context, plan, policy result, tool call, approval decision, action, and outcome end to end.</t>
  </si>
  <si>
    <t xml:space="preserve">Test rollback and compensating controls</t>
  </si>
  <si>
    <t xml:space="preserve">Some financial or client-record actions cannot be simply undone; compensating processes must be tested and evidenced.</t>
  </si>
  <si>
    <t xml:space="preserve">Keep advisor approval for high-impact workflows</t>
  </si>
  <si>
    <t xml:space="preserve">Human accountability remains necessary for transfers, sensitive data changes, exceptions, and elevated-risk servicing actions until SMI improves.</t>
  </si>
  <si>
    <t xml:space="preserve">Require threat modeling before autonomy expansion</t>
  </si>
  <si>
    <t xml:space="preserve">The agent touches regulated PII and financial workflows; model prompt injection, tool misuse, delegated-authority abuse, approval bypass, and data-exfiltration paths.</t>
  </si>
</sst>
</file>

<file path=xl/styles.xml><?xml version="1.0" encoding="utf-8"?>
<styleSheet xmlns="http://schemas.openxmlformats.org/spreadsheetml/2006/main">
  <numFmts count="4">
    <numFmt numFmtId="164" formatCode="General"/>
    <numFmt numFmtId="165" formatCode="0"/>
    <numFmt numFmtId="166" formatCode="0.0"/>
    <numFmt numFmtId="167" formatCode="yyyy\-mm\-dd"/>
  </numFmts>
  <fonts count="20">
    <font>
      <sz val="10"/>
      <name val="Arial"/>
      <family val="2"/>
      <charset val="1"/>
    </font>
    <font>
      <sz val="10"/>
      <name val="Arial"/>
      <family val="0"/>
    </font>
    <font>
      <sz val="10"/>
      <name val="Arial"/>
      <family val="0"/>
    </font>
    <font>
      <sz val="10"/>
      <name val="Arial"/>
      <family val="0"/>
    </font>
    <font>
      <sz val="11"/>
      <name val="Calibri"/>
      <family val="0"/>
      <charset val="1"/>
    </font>
    <font>
      <b val="true"/>
      <sz val="16"/>
      <color rgb="FFFFFFFF"/>
      <name val="Arial"/>
      <family val="0"/>
      <charset val="1"/>
    </font>
    <font>
      <i val="true"/>
      <sz val="10"/>
      <color rgb="FF4A5568"/>
      <name val="Arial"/>
      <family val="0"/>
      <charset val="1"/>
    </font>
    <font>
      <b val="true"/>
      <sz val="11"/>
      <color rgb="FFFFFFFF"/>
      <name val="Arial"/>
      <family val="0"/>
      <charset val="1"/>
    </font>
    <font>
      <b val="true"/>
      <sz val="11"/>
      <name val="Arial"/>
      <family val="0"/>
      <charset val="1"/>
    </font>
    <font>
      <sz val="11"/>
      <name val="Arial"/>
      <family val="0"/>
      <charset val="1"/>
    </font>
    <font>
      <b val="true"/>
      <sz val="10"/>
      <name val="Arial"/>
      <family val="0"/>
      <charset val="1"/>
    </font>
    <font>
      <sz val="10"/>
      <name val="Arial"/>
      <family val="0"/>
      <charset val="1"/>
    </font>
    <font>
      <b val="true"/>
      <sz val="14"/>
      <color rgb="FFFFFFFF"/>
      <name val="Arial"/>
      <family val="0"/>
      <charset val="1"/>
    </font>
    <font>
      <b val="true"/>
      <sz val="14"/>
      <color rgb="FFFFFFFF"/>
      <name val="Calibri"/>
      <family val="0"/>
      <charset val="1"/>
    </font>
    <font>
      <i val="true"/>
      <sz val="10"/>
      <color rgb="FF1F3556"/>
      <name val="Arial"/>
      <family val="0"/>
      <charset val="1"/>
    </font>
    <font>
      <i val="true"/>
      <sz val="10"/>
      <color rgb="FF1F3556"/>
      <name val="Calibri"/>
      <family val="0"/>
      <charset val="1"/>
    </font>
    <font>
      <i val="true"/>
      <sz val="10"/>
      <name val="Arial"/>
      <family val="0"/>
      <charset val="1"/>
    </font>
    <font>
      <b val="true"/>
      <sz val="10"/>
      <color rgb="FFFFFFFF"/>
      <name val="Arial"/>
      <family val="0"/>
      <charset val="1"/>
    </font>
    <font>
      <sz val="9"/>
      <name val="Arial"/>
      <family val="0"/>
      <charset val="1"/>
    </font>
    <font>
      <i val="true"/>
      <sz val="9"/>
      <name val="Arial"/>
      <family val="0"/>
      <charset val="1"/>
    </font>
  </fonts>
  <fills count="9">
    <fill>
      <patternFill patternType="none"/>
    </fill>
    <fill>
      <patternFill patternType="gray125"/>
    </fill>
    <fill>
      <patternFill patternType="solid">
        <fgColor rgb="FF203864"/>
        <bgColor rgb="FF1F3864"/>
      </patternFill>
    </fill>
    <fill>
      <patternFill patternType="solid">
        <fgColor rgb="FFF7FAFC"/>
        <bgColor rgb="FFFFFFFF"/>
      </patternFill>
    </fill>
    <fill>
      <patternFill patternType="solid">
        <fgColor rgb="FF1F3556"/>
        <bgColor rgb="FF1F3864"/>
      </patternFill>
    </fill>
    <fill>
      <patternFill patternType="solid">
        <fgColor rgb="FFEAF1F8"/>
        <bgColor rgb="FFF7FAFC"/>
      </patternFill>
    </fill>
    <fill>
      <patternFill patternType="solid">
        <fgColor rgb="FF1F3864"/>
        <bgColor rgb="FF203864"/>
      </patternFill>
    </fill>
    <fill>
      <patternFill patternType="solid">
        <fgColor rgb="FF0F766E"/>
        <bgColor rgb="FF008080"/>
      </patternFill>
    </fill>
    <fill>
      <patternFill patternType="solid">
        <fgColor rgb="FFD9EAF7"/>
        <bgColor rgb="FFEAF1F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center" vertical="top" textRotation="0" wrapText="true" indent="0" shrinkToFit="false"/>
      <protection locked="true" hidden="false"/>
    </xf>
    <xf numFmtId="164" fontId="7" fillId="2" borderId="0" xfId="0" applyFont="true" applyBorder="false" applyAlignment="true" applyProtection="false">
      <alignment horizontal="center" vertical="top" textRotation="0" wrapText="tru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5" fontId="9"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6" fontId="9"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7"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4" borderId="0" xfId="0" applyFont="true" applyBorder="false" applyAlignment="true" applyProtection="false">
      <alignment horizontal="center" vertical="top" textRotation="0" wrapText="true" indent="0" shrinkToFit="false"/>
      <protection locked="true" hidden="false"/>
    </xf>
    <xf numFmtId="164" fontId="13" fillId="4" borderId="0" xfId="0" applyFont="true" applyBorder="false" applyAlignment="true" applyProtection="false">
      <alignment horizontal="general" vertical="bottom" textRotation="0" wrapText="true" indent="0" shrinkToFit="false"/>
      <protection locked="true" hidden="false"/>
    </xf>
    <xf numFmtId="164" fontId="14" fillId="5" borderId="0" xfId="0" applyFont="true" applyBorder="false" applyAlignment="true" applyProtection="false">
      <alignment horizontal="center" vertical="top" textRotation="0" wrapText="true" indent="0" shrinkToFit="false"/>
      <protection locked="true" hidden="false"/>
    </xf>
    <xf numFmtId="164" fontId="15" fillId="5" borderId="0" xfId="0" applyFont="true" applyBorder="fals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6"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2" fillId="7" borderId="0"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8" borderId="0" xfId="0" applyFont="true" applyBorder="false" applyAlignment="true" applyProtection="false">
      <alignment horizontal="center" vertical="top" textRotation="0" wrapText="true" indent="0" shrinkToFit="false"/>
      <protection locked="true" hidden="false"/>
    </xf>
    <xf numFmtId="164" fontId="10" fillId="8" borderId="0" xfId="0" applyFont="true" applyBorder="true" applyAlignment="true" applyProtection="false">
      <alignment horizontal="center" vertical="top" textRotation="0" wrapText="true" indent="0" shrinkToFit="false"/>
      <protection locked="true" hidden="false"/>
    </xf>
    <xf numFmtId="164" fontId="19"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F7E0"/>
        </patternFill>
      </fill>
    </dxf>
    <dxf>
      <fill>
        <patternFill>
          <bgColor rgb="FFFCEBE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BFBFBF"/>
      <rgbColor rgb="FF808080"/>
      <rgbColor rgb="FF9999FF"/>
      <rgbColor rgb="FF993366"/>
      <rgbColor rgb="FFFFF7E0"/>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F8"/>
      <rgbColor rgb="FFF7FAFC"/>
      <rgbColor rgb="FFFCEBEA"/>
      <rgbColor rgb="FF99CCFF"/>
      <rgbColor rgb="FFFF99CC"/>
      <rgbColor rgb="FFCC99FF"/>
      <rgbColor rgb="FFFFCC99"/>
      <rgbColor rgb="FF3366FF"/>
      <rgbColor rgb="FF33CCCC"/>
      <rgbColor rgb="FF99CC00"/>
      <rgbColor rgb="FFFFCC00"/>
      <rgbColor rgb="FFFF9900"/>
      <rgbColor rgb="FFFF6600"/>
      <rgbColor rgb="FF4A5568"/>
      <rgbColor rgb="FF969696"/>
      <rgbColor rgb="FF1F3864"/>
      <rgbColor rgb="FF339966"/>
      <rgbColor rgb="FF003300"/>
      <rgbColor rgb="FF333300"/>
      <rgbColor rgb="FF993300"/>
      <rgbColor rgb="FF993366"/>
      <rgbColor rgb="FF203864"/>
      <rgbColor rgb="FF1F355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5" min="3" style="1" width="12"/>
    <col collapsed="false" customWidth="true" hidden="false" outlineLevel="0" max="6" min="6" style="1" width="27"/>
    <col collapsed="false" customWidth="true" hidden="false" outlineLevel="0" max="7" min="7" style="1" width="46"/>
    <col collapsed="false" customWidth="true" hidden="false" outlineLevel="0" max="8" min="8" style="1" width="52"/>
  </cols>
  <sheetData>
    <row r="1" customFormat="false" ht="27.75" hidden="false" customHeight="true" outlineLevel="0" collapsed="false">
      <c r="A1" s="2" t="s">
        <v>0</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36" hidden="false" customHeight="true" outlineLevel="0" collapsed="false">
      <c r="A2" s="4" t="s">
        <v>1</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2</v>
      </c>
      <c r="B4" s="5" t="s">
        <v>3</v>
      </c>
      <c r="C4" s="3"/>
      <c r="D4" s="5" t="s">
        <v>4</v>
      </c>
      <c r="E4" s="5" t="s">
        <v>5</v>
      </c>
      <c r="F4" s="5" t="s">
        <v>6</v>
      </c>
      <c r="G4" s="3"/>
      <c r="H4" s="3"/>
      <c r="I4" s="3"/>
      <c r="J4" s="3"/>
      <c r="K4" s="3"/>
      <c r="L4" s="3"/>
      <c r="M4" s="3"/>
      <c r="N4" s="3"/>
      <c r="O4" s="3"/>
      <c r="P4" s="3"/>
      <c r="Q4" s="3"/>
      <c r="R4" s="3"/>
      <c r="S4" s="3"/>
      <c r="T4" s="3"/>
      <c r="U4" s="3"/>
      <c r="V4" s="3"/>
      <c r="W4" s="3"/>
      <c r="X4" s="3"/>
      <c r="Y4" s="3"/>
      <c r="Z4" s="3"/>
      <c r="AA4" s="3"/>
      <c r="AB4" s="3"/>
      <c r="AC4" s="3"/>
      <c r="AD4" s="3"/>
      <c r="AE4" s="3"/>
      <c r="AF4" s="3"/>
    </row>
    <row r="5" customFormat="false" ht="15" hidden="false" customHeight="true" outlineLevel="0" collapsed="false">
      <c r="A5" s="6" t="s">
        <v>7</v>
      </c>
      <c r="B5" s="7" t="n">
        <f aca="false">COUNTA(Assessment!A5:A104)</f>
        <v>5</v>
      </c>
      <c r="C5" s="3"/>
      <c r="D5" s="8" t="s">
        <v>8</v>
      </c>
      <c r="E5" s="7" t="n">
        <f aca="false">COUNTIF(Assessment!AH5:AH104,"Stable Orbit")</f>
        <v>1</v>
      </c>
      <c r="F5" s="9" t="s">
        <v>9</v>
      </c>
      <c r="G5" s="3"/>
      <c r="H5" s="3"/>
      <c r="I5" s="3"/>
      <c r="J5" s="3"/>
      <c r="K5" s="3"/>
      <c r="L5" s="3"/>
      <c r="M5" s="3"/>
      <c r="N5" s="3"/>
      <c r="O5" s="3"/>
      <c r="P5" s="3"/>
      <c r="Q5" s="3"/>
      <c r="R5" s="3"/>
      <c r="S5" s="3"/>
      <c r="T5" s="3"/>
      <c r="U5" s="3"/>
      <c r="V5" s="3"/>
      <c r="W5" s="3"/>
      <c r="X5" s="3"/>
      <c r="Y5" s="3"/>
      <c r="Z5" s="3"/>
      <c r="AA5" s="3"/>
      <c r="AB5" s="3"/>
      <c r="AC5" s="3"/>
      <c r="AD5" s="3"/>
      <c r="AE5" s="3"/>
      <c r="AF5" s="3"/>
    </row>
    <row r="6" customFormat="false" ht="26.25" hidden="false" customHeight="true" outlineLevel="0" collapsed="false">
      <c r="A6" s="6" t="s">
        <v>10</v>
      </c>
      <c r="B6" s="10" t="n">
        <f aca="false">IFERROR(AVERAGE(Assessment!U5:U104),"")</f>
        <v>61.7142857142857</v>
      </c>
      <c r="C6" s="3"/>
      <c r="D6" s="8" t="s">
        <v>11</v>
      </c>
      <c r="E6" s="7" t="n">
        <f aca="false">COUNTIF(Assessment!AH5:AH104,"Controlled Orbit")</f>
        <v>0</v>
      </c>
      <c r="F6" s="9" t="s">
        <v>12</v>
      </c>
      <c r="G6" s="3"/>
      <c r="H6" s="3"/>
      <c r="I6" s="3"/>
      <c r="J6" s="3"/>
      <c r="K6" s="3"/>
      <c r="L6" s="3"/>
      <c r="M6" s="3"/>
      <c r="N6" s="3"/>
      <c r="O6" s="3"/>
      <c r="P6" s="3"/>
      <c r="Q6" s="3"/>
      <c r="R6" s="3"/>
      <c r="S6" s="3"/>
      <c r="T6" s="3"/>
      <c r="U6" s="3"/>
      <c r="V6" s="3"/>
      <c r="W6" s="3"/>
      <c r="X6" s="3"/>
      <c r="Y6" s="3"/>
      <c r="Z6" s="3"/>
      <c r="AA6" s="3"/>
      <c r="AB6" s="3"/>
      <c r="AC6" s="3"/>
      <c r="AD6" s="3"/>
      <c r="AE6" s="3"/>
      <c r="AF6" s="3"/>
    </row>
    <row r="7" customFormat="false" ht="15" hidden="false" customHeight="true" outlineLevel="0" collapsed="false">
      <c r="A7" s="6" t="s">
        <v>13</v>
      </c>
      <c r="B7" s="10" t="n">
        <f aca="false">IFERROR(AVERAGE(Assessment!V5:V104),"")</f>
        <v>66.8571428571429</v>
      </c>
      <c r="C7" s="3"/>
      <c r="D7" s="8" t="s">
        <v>14</v>
      </c>
      <c r="E7" s="7" t="n">
        <f aca="false">COUNTIF(Assessment!AH5:AH104,"Edge Orbit")</f>
        <v>3</v>
      </c>
      <c r="F7" s="9" t="s">
        <v>15</v>
      </c>
      <c r="G7" s="3"/>
      <c r="H7" s="3"/>
      <c r="I7" s="3"/>
      <c r="J7" s="3"/>
      <c r="K7" s="3"/>
      <c r="L7" s="3"/>
      <c r="M7" s="3"/>
      <c r="N7" s="3"/>
      <c r="O7" s="3"/>
      <c r="P7" s="3"/>
      <c r="Q7" s="3"/>
      <c r="R7" s="3"/>
      <c r="S7" s="3"/>
      <c r="T7" s="3"/>
      <c r="U7" s="3"/>
      <c r="V7" s="3"/>
      <c r="W7" s="3"/>
      <c r="X7" s="3"/>
      <c r="Y7" s="3"/>
      <c r="Z7" s="3"/>
      <c r="AA7" s="3"/>
      <c r="AB7" s="3"/>
      <c r="AC7" s="3"/>
      <c r="AD7" s="3"/>
      <c r="AE7" s="3"/>
      <c r="AF7" s="3"/>
    </row>
    <row r="8" customFormat="false" ht="15" hidden="false" customHeight="true" outlineLevel="0" collapsed="false">
      <c r="A8" s="6" t="s">
        <v>16</v>
      </c>
      <c r="B8" s="10" t="n">
        <f aca="false">IFERROR(AVERAGE(Assessment!W5:W104),"")</f>
        <v>5.14285714285714</v>
      </c>
      <c r="C8" s="3"/>
      <c r="D8" s="8" t="s">
        <v>17</v>
      </c>
      <c r="E8" s="7" t="n">
        <f aca="false">COUNTIF(Assessment!AH5:AH104,"Unstable Orbit")</f>
        <v>1</v>
      </c>
      <c r="F8" s="9" t="s">
        <v>18</v>
      </c>
      <c r="G8" s="3"/>
      <c r="H8" s="3"/>
      <c r="I8" s="3"/>
      <c r="J8" s="3"/>
      <c r="K8" s="3"/>
      <c r="L8" s="3"/>
      <c r="M8" s="3"/>
      <c r="N8" s="3"/>
      <c r="O8" s="3"/>
      <c r="P8" s="3"/>
      <c r="Q8" s="3"/>
      <c r="R8" s="3"/>
      <c r="S8" s="3"/>
      <c r="T8" s="3"/>
      <c r="U8" s="3"/>
      <c r="V8" s="3"/>
      <c r="W8" s="3"/>
      <c r="X8" s="3"/>
      <c r="Y8" s="3"/>
      <c r="Z8" s="3"/>
      <c r="AA8" s="3"/>
      <c r="AB8" s="3"/>
      <c r="AC8" s="3"/>
      <c r="AD8" s="3"/>
      <c r="AE8" s="3"/>
      <c r="AF8" s="3"/>
    </row>
    <row r="9" customFormat="false" ht="15" hidden="false" customHeight="true" outlineLevel="0" collapsed="false">
      <c r="A9" s="6" t="s">
        <v>19</v>
      </c>
      <c r="B9" s="7" t="n">
        <f aca="false">COUNTIF(Assessment!W5:W104,"&lt;0")</f>
        <v>2</v>
      </c>
      <c r="C9" s="3"/>
      <c r="D9" s="8" t="s">
        <v>20</v>
      </c>
      <c r="E9" s="7" t="n">
        <f aca="false">COUNTIF(Assessment!AH5:AH104,"Critical Orbit")</f>
        <v>0</v>
      </c>
      <c r="F9" s="9" t="s">
        <v>21</v>
      </c>
      <c r="G9" s="3"/>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6" t="s">
        <v>22</v>
      </c>
      <c r="B10" s="7" t="n">
        <f aca="false">COUNTIF(Assessment!Z5:Z104,"No")</f>
        <v>2</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6" t="s">
        <v>23</v>
      </c>
      <c r="B11" s="7" t="n">
        <f aca="false">COUNTIF(Assessment!AA5:AA104,"Yes")</f>
        <v>4</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6" t="s">
        <v>24</v>
      </c>
      <c r="B12" s="7" t="n">
        <f aca="false">COUNTIF(Assessment!AB5:AB104,"Yes")</f>
        <v>2</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6" t="s">
        <v>25</v>
      </c>
      <c r="B13" s="7" t="n">
        <f aca="false">COUNTIF(Assessment!AF5:AF104,"&lt;&gt;None")-COUNTBLANK(Assessment!AF5:AF104)</f>
        <v>4</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11" t="s">
        <v>26</v>
      </c>
      <c r="B15" s="11"/>
      <c r="C15" s="11"/>
      <c r="D15" s="11"/>
      <c r="E15" s="11"/>
      <c r="F15" s="11"/>
      <c r="G15" s="11"/>
      <c r="H15" s="11"/>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5" t="s">
        <v>27</v>
      </c>
      <c r="B16" s="5" t="s">
        <v>28</v>
      </c>
      <c r="C16" s="5" t="s">
        <v>29</v>
      </c>
      <c r="D16" s="5" t="s">
        <v>30</v>
      </c>
      <c r="E16" s="5" t="s">
        <v>31</v>
      </c>
      <c r="F16" s="5" t="s">
        <v>32</v>
      </c>
      <c r="G16" s="5" t="s">
        <v>33</v>
      </c>
      <c r="H16" s="5" t="s">
        <v>34</v>
      </c>
      <c r="I16" s="3"/>
      <c r="J16" s="3"/>
      <c r="K16" s="3"/>
      <c r="L16" s="3"/>
      <c r="M16" s="3"/>
      <c r="N16" s="3"/>
      <c r="O16" s="3"/>
      <c r="P16" s="3"/>
      <c r="Q16" s="3"/>
      <c r="R16" s="3"/>
      <c r="S16" s="3"/>
      <c r="T16" s="3"/>
      <c r="U16" s="3"/>
      <c r="V16" s="3"/>
      <c r="W16" s="3"/>
      <c r="X16" s="3"/>
      <c r="Y16" s="3"/>
      <c r="Z16" s="3"/>
      <c r="AA16" s="3"/>
      <c r="AB16" s="3"/>
      <c r="AC16" s="3"/>
      <c r="AD16" s="3"/>
      <c r="AE16" s="3"/>
      <c r="AF16" s="3"/>
    </row>
    <row r="17" customFormat="false" ht="52.5" hidden="false" customHeight="true" outlineLevel="0" collapsed="false">
      <c r="A17" s="12" t="str">
        <f aca="false">IF(Assessment!$A5="","",Assessment!A5)</f>
        <v>Documentation Assistant</v>
      </c>
      <c r="B17" s="12" t="str">
        <f aca="false">IF(Assessment!$A5="","",Assessment!B5)</f>
        <v>Knowledge / Documentation</v>
      </c>
      <c r="C17" s="10" t="n">
        <f aca="false">IF(Assessment!$A5="","",Assessment!U5)</f>
        <v>20</v>
      </c>
      <c r="D17" s="10" t="n">
        <f aca="false">IF(Assessment!$A5="","",Assessment!V5)</f>
        <v>71.4285714285714</v>
      </c>
      <c r="E17" s="10" t="n">
        <f aca="false">IF(Assessment!$A5="","",Assessment!W5)</f>
        <v>51.4285714285714</v>
      </c>
      <c r="F17" s="12" t="str">
        <f aca="false">IF(Assessment!$A5="","",Assessment!AH5)</f>
        <v>Stable Orbit</v>
      </c>
      <c r="G17" s="12" t="str">
        <f aca="false">IF(Assessment!$A5="","",Assessment!AG5)</f>
        <v>-</v>
      </c>
      <c r="H17" s="12" t="str">
        <f aca="false">IF(Assessment!$A5="","",Assessment!AE5)</f>
        <v>Add pre-execution and runtime policy checks; externalize policy decisions where practical.</v>
      </c>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12" t="str">
        <f aca="false">IF(Assessment!$A6="","",Assessment!A6)</f>
        <v>Client-Request Automation Agent</v>
      </c>
      <c r="B18" s="12" t="str">
        <f aca="false">IF(Assessment!$A6="","",Assessment!B6)</f>
        <v>Financial Operations</v>
      </c>
      <c r="C18" s="10" t="n">
        <f aca="false">IF(Assessment!$A6="","",Assessment!U6)</f>
        <v>60</v>
      </c>
      <c r="D18" s="10" t="n">
        <f aca="false">IF(Assessment!$A6="","",Assessment!V6)</f>
        <v>65.7142857142857</v>
      </c>
      <c r="E18" s="10" t="n">
        <f aca="false">IF(Assessment!$A6="","",Assessment!W6)</f>
        <v>5.71428571428571</v>
      </c>
      <c r="F18" s="12" t="str">
        <f aca="false">IF(Assessment!$A6="","",Assessment!AH6)</f>
        <v>Edge Orbit</v>
      </c>
      <c r="G18" s="12" t="str">
        <f aca="false">IF(Assessment!$A6="","",Assessment!AG6)</f>
        <v>R3 evidence tier 3&lt;4; </v>
      </c>
      <c r="H18" s="12" t="str">
        <f aca="false">IF(Assessment!$A6="","",Assessment!AE6)</f>
        <v>Add scenario tests, red-team tests, runtime evaluation, drift monitoring, and outcome validation.</v>
      </c>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12" t="str">
        <f aca="false">IF(Assessment!$A7="","",Assessment!A7)</f>
        <v>Kubernetes Deployment Agent</v>
      </c>
      <c r="B19" s="12" t="str">
        <f aca="false">IF(Assessment!$A7="","",Assessment!B7)</f>
        <v>Software Delivery</v>
      </c>
      <c r="C19" s="10" t="n">
        <f aca="false">IF(Assessment!$A7="","",Assessment!U7)</f>
        <v>65.7142857142857</v>
      </c>
      <c r="D19" s="10" t="n">
        <f aca="false">IF(Assessment!$A7="","",Assessment!V7)</f>
        <v>65.7142857142857</v>
      </c>
      <c r="E19" s="10" t="n">
        <f aca="false">IF(Assessment!$A7="","",Assessment!W7)</f>
        <v>0</v>
      </c>
      <c r="F19" s="12" t="str">
        <f aca="false">IF(Assessment!$A7="","",Assessment!AH7)</f>
        <v>Edge Orbit</v>
      </c>
      <c r="G19" s="12" t="str">
        <f aca="false">IF(Assessment!$A7="","",Assessment!AG7)</f>
        <v>R1 concentrated force; R3 evidence tier 3&lt;4; </v>
      </c>
      <c r="H19" s="12" t="str">
        <f aca="false">IF(Assessment!$A7="","",Assessment!AE7)</f>
        <v>Add scenario tests, red-team tests, runtime evaluation, drift monitoring, and outcome validation.</v>
      </c>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12" t="str">
        <f aca="false">IF(Assessment!$A8="","",Assessment!A8)</f>
        <v>Multi-Agent SDLC Workflow</v>
      </c>
      <c r="B20" s="12" t="str">
        <f aca="false">IF(Assessment!$A8="","",Assessment!B8)</f>
        <v>Multi-Agent SDLC</v>
      </c>
      <c r="C20" s="10" t="n">
        <f aca="false">IF(Assessment!$A8="","",Assessment!U8)</f>
        <v>74.2857142857143</v>
      </c>
      <c r="D20" s="10" t="n">
        <f aca="false">IF(Assessment!$A8="","",Assessment!V8)</f>
        <v>62.8571428571429</v>
      </c>
      <c r="E20" s="10" t="n">
        <f aca="false">IF(Assessment!$A8="","",Assessment!W8)</f>
        <v>-11.4285714285714</v>
      </c>
      <c r="F20" s="12" t="str">
        <f aca="false">IF(Assessment!$A8="","",Assessment!AH8)</f>
        <v>Edge Orbit</v>
      </c>
      <c r="G20" s="12" t="str">
        <f aca="false">IF(Assessment!$A8="","",Assessment!AG8)</f>
        <v>R1 concentrated force; </v>
      </c>
      <c r="H20" s="12" t="str">
        <f aca="false">IF(Assessment!$A8="","",Assessment!AE8)</f>
        <v>Assign dedicated workload identity; remove shared credentials; add ownership metadata.</v>
      </c>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12" t="str">
        <f aca="false">IF(Assessment!$A9="","",Assessment!A9)</f>
        <v>Autonomous Production Remediation Agent</v>
      </c>
      <c r="B21" s="12" t="str">
        <f aca="false">IF(Assessment!$A9="","",Assessment!B9)</f>
        <v>Cloud / Infrastructure</v>
      </c>
      <c r="C21" s="10" t="n">
        <f aca="false">IF(Assessment!$A9="","",Assessment!U9)</f>
        <v>88.5714285714286</v>
      </c>
      <c r="D21" s="10" t="n">
        <f aca="false">IF(Assessment!$A9="","",Assessment!V9)</f>
        <v>68.5714285714286</v>
      </c>
      <c r="E21" s="10" t="n">
        <f aca="false">IF(Assessment!$A9="","",Assessment!W9)</f>
        <v>-20</v>
      </c>
      <c r="F21" s="12" t="str">
        <f aca="false">IF(Assessment!$A9="","",Assessment!AH9)</f>
        <v>Unstable Orbit</v>
      </c>
      <c r="G21" s="12" t="str">
        <f aca="false">IF(Assessment!$A9="","",Assessment!AG9)</f>
        <v>R1 concentrated force; R3 evidence tier 3&lt;4; </v>
      </c>
      <c r="H21" s="12" t="str">
        <f aca="false">IF(Assessment!$A9="","",Assessment!AE9)</f>
        <v>Add scenario tests, red-team tests, runtime evaluation, drift monitoring, and outcome validation.</v>
      </c>
      <c r="I21" s="3"/>
      <c r="J21" s="3"/>
      <c r="K21" s="3"/>
      <c r="L21" s="3"/>
      <c r="M21" s="3"/>
      <c r="N21" s="3"/>
      <c r="O21" s="3"/>
      <c r="P21" s="3"/>
      <c r="Q21" s="3"/>
      <c r="R21" s="3"/>
      <c r="S21" s="3"/>
      <c r="T21" s="3"/>
      <c r="U21" s="3"/>
      <c r="V21" s="3"/>
      <c r="W21" s="3"/>
      <c r="X21" s="3"/>
      <c r="Y21" s="3"/>
      <c r="Z21" s="3"/>
      <c r="AA21" s="3"/>
      <c r="AB21" s="3"/>
      <c r="AC21" s="3"/>
      <c r="AD21" s="3"/>
      <c r="AE21" s="3"/>
      <c r="AF21" s="3"/>
    </row>
    <row r="22" customFormat="false" ht="37.5" hidden="false" customHeight="true" outlineLevel="0" collapsed="false">
      <c r="A22" s="12" t="str">
        <f aca="false">IF(Assessment!$A10="","",Assessment!A10)</f>
        <v/>
      </c>
      <c r="B22" s="12" t="str">
        <f aca="false">IF(Assessment!$A10="","",Assessment!B10)</f>
        <v/>
      </c>
      <c r="C22" s="10" t="str">
        <f aca="false">IF(Assessment!$A10="","",Assessment!U10)</f>
        <v/>
      </c>
      <c r="D22" s="10" t="str">
        <f aca="false">IF(Assessment!$A10="","",Assessment!V10)</f>
        <v/>
      </c>
      <c r="E22" s="10" t="str">
        <f aca="false">IF(Assessment!$A10="","",Assessment!W10)</f>
        <v/>
      </c>
      <c r="F22" s="12" t="str">
        <f aca="false">IF(Assessment!$A10="","",Assessment!AH10)</f>
        <v/>
      </c>
      <c r="G22" s="12" t="str">
        <f aca="false">IF(Assessment!$A10="","",Assessment!AG10)</f>
        <v/>
      </c>
      <c r="H22" s="12" t="str">
        <f aca="false">IF(Assessment!$A10="","",Assessment!AE10)</f>
        <v/>
      </c>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12" t="str">
        <f aca="false">IF(Assessment!$A11="","",Assessment!A11)</f>
        <v/>
      </c>
      <c r="B23" s="12" t="str">
        <f aca="false">IF(Assessment!$A11="","",Assessment!B11)</f>
        <v/>
      </c>
      <c r="C23" s="10" t="str">
        <f aca="false">IF(Assessment!$A11="","",Assessment!U11)</f>
        <v/>
      </c>
      <c r="D23" s="10" t="str">
        <f aca="false">IF(Assessment!$A11="","",Assessment!V11)</f>
        <v/>
      </c>
      <c r="E23" s="10" t="str">
        <f aca="false">IF(Assessment!$A11="","",Assessment!W11)</f>
        <v/>
      </c>
      <c r="F23" s="12" t="str">
        <f aca="false">IF(Assessment!$A11="","",Assessment!AH11)</f>
        <v/>
      </c>
      <c r="G23" s="12" t="str">
        <f aca="false">IF(Assessment!$A11="","",Assessment!AG11)</f>
        <v/>
      </c>
      <c r="H23" s="12" t="str">
        <f aca="false">IF(Assessment!$A11="","",Assessment!AE11)</f>
        <v/>
      </c>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12" t="str">
        <f aca="false">IF(Assessment!$A12="","",Assessment!A12)</f>
        <v/>
      </c>
      <c r="B24" s="12" t="str">
        <f aca="false">IF(Assessment!$A12="","",Assessment!B12)</f>
        <v/>
      </c>
      <c r="C24" s="10" t="str">
        <f aca="false">IF(Assessment!$A12="","",Assessment!U12)</f>
        <v/>
      </c>
      <c r="D24" s="10" t="str">
        <f aca="false">IF(Assessment!$A12="","",Assessment!V12)</f>
        <v/>
      </c>
      <c r="E24" s="10" t="str">
        <f aca="false">IF(Assessment!$A12="","",Assessment!W12)</f>
        <v/>
      </c>
      <c r="F24" s="12" t="str">
        <f aca="false">IF(Assessment!$A12="","",Assessment!AH12)</f>
        <v/>
      </c>
      <c r="G24" s="12" t="str">
        <f aca="false">IF(Assessment!$A12="","",Assessment!AG12)</f>
        <v/>
      </c>
      <c r="H24" s="12" t="str">
        <f aca="false">IF(Assessment!$A12="","",Assessment!AE12)</f>
        <v/>
      </c>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12" t="str">
        <f aca="false">IF(Assessment!$A13="","",Assessment!A13)</f>
        <v/>
      </c>
      <c r="B25" s="12" t="str">
        <f aca="false">IF(Assessment!$A13="","",Assessment!B13)</f>
        <v/>
      </c>
      <c r="C25" s="10" t="str">
        <f aca="false">IF(Assessment!$A13="","",Assessment!U13)</f>
        <v/>
      </c>
      <c r="D25" s="10" t="str">
        <f aca="false">IF(Assessment!$A13="","",Assessment!V13)</f>
        <v/>
      </c>
      <c r="E25" s="10" t="str">
        <f aca="false">IF(Assessment!$A13="","",Assessment!W13)</f>
        <v/>
      </c>
      <c r="F25" s="12" t="str">
        <f aca="false">IF(Assessment!$A13="","",Assessment!AH13)</f>
        <v/>
      </c>
      <c r="G25" s="12" t="str">
        <f aca="false">IF(Assessment!$A13="","",Assessment!AG13)</f>
        <v/>
      </c>
      <c r="H25" s="12" t="str">
        <f aca="false">IF(Assessment!$A13="","",Assessment!AE13)</f>
        <v/>
      </c>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12" t="str">
        <f aca="false">IF(Assessment!$A14="","",Assessment!A14)</f>
        <v/>
      </c>
      <c r="B26" s="12" t="str">
        <f aca="false">IF(Assessment!$A14="","",Assessment!B14)</f>
        <v/>
      </c>
      <c r="C26" s="10" t="str">
        <f aca="false">IF(Assessment!$A14="","",Assessment!U14)</f>
        <v/>
      </c>
      <c r="D26" s="10" t="str">
        <f aca="false">IF(Assessment!$A14="","",Assessment!V14)</f>
        <v/>
      </c>
      <c r="E26" s="10" t="str">
        <f aca="false">IF(Assessment!$A14="","",Assessment!W14)</f>
        <v/>
      </c>
      <c r="F26" s="12" t="str">
        <f aca="false">IF(Assessment!$A14="","",Assessment!AH14)</f>
        <v/>
      </c>
      <c r="G26" s="12" t="str">
        <f aca="false">IF(Assessment!$A14="","",Assessment!AG14)</f>
        <v/>
      </c>
      <c r="H26" s="12" t="str">
        <f aca="false">IF(Assessment!$A14="","",Assessment!AE14)</f>
        <v/>
      </c>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12" t="str">
        <f aca="false">IF(Assessment!$A15="","",Assessment!A15)</f>
        <v/>
      </c>
      <c r="B27" s="12" t="str">
        <f aca="false">IF(Assessment!$A15="","",Assessment!B15)</f>
        <v/>
      </c>
      <c r="C27" s="10" t="str">
        <f aca="false">IF(Assessment!$A15="","",Assessment!U15)</f>
        <v/>
      </c>
      <c r="D27" s="10" t="str">
        <f aca="false">IF(Assessment!$A15="","",Assessment!V15)</f>
        <v/>
      </c>
      <c r="E27" s="10" t="str">
        <f aca="false">IF(Assessment!$A15="","",Assessment!W15)</f>
        <v/>
      </c>
      <c r="F27" s="12" t="str">
        <f aca="false">IF(Assessment!$A15="","",Assessment!AH15)</f>
        <v/>
      </c>
      <c r="G27" s="12" t="str">
        <f aca="false">IF(Assessment!$A15="","",Assessment!AG15)</f>
        <v/>
      </c>
      <c r="H27" s="12" t="str">
        <f aca="false">IF(Assessment!$A15="","",Assessment!AE15)</f>
        <v/>
      </c>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12" t="str">
        <f aca="false">IF(Assessment!$A16="","",Assessment!A16)</f>
        <v/>
      </c>
      <c r="B28" s="12" t="str">
        <f aca="false">IF(Assessment!$A16="","",Assessment!B16)</f>
        <v/>
      </c>
      <c r="C28" s="10" t="str">
        <f aca="false">IF(Assessment!$A16="","",Assessment!U16)</f>
        <v/>
      </c>
      <c r="D28" s="10" t="str">
        <f aca="false">IF(Assessment!$A16="","",Assessment!V16)</f>
        <v/>
      </c>
      <c r="E28" s="10" t="str">
        <f aca="false">IF(Assessment!$A16="","",Assessment!W16)</f>
        <v/>
      </c>
      <c r="F28" s="12" t="str">
        <f aca="false">IF(Assessment!$A16="","",Assessment!AH16)</f>
        <v/>
      </c>
      <c r="G28" s="12" t="str">
        <f aca="false">IF(Assessment!$A16="","",Assessment!AG16)</f>
        <v/>
      </c>
      <c r="H28" s="12" t="str">
        <f aca="false">IF(Assessment!$A16="","",Assessment!AE16)</f>
        <v/>
      </c>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12" t="str">
        <f aca="false">IF(Assessment!$A17="","",Assessment!A17)</f>
        <v/>
      </c>
      <c r="B29" s="12" t="str">
        <f aca="false">IF(Assessment!$A17="","",Assessment!B17)</f>
        <v/>
      </c>
      <c r="C29" s="10" t="str">
        <f aca="false">IF(Assessment!$A17="","",Assessment!U17)</f>
        <v/>
      </c>
      <c r="D29" s="10" t="str">
        <f aca="false">IF(Assessment!$A17="","",Assessment!V17)</f>
        <v/>
      </c>
      <c r="E29" s="10" t="str">
        <f aca="false">IF(Assessment!$A17="","",Assessment!W17)</f>
        <v/>
      </c>
      <c r="F29" s="12" t="str">
        <f aca="false">IF(Assessment!$A17="","",Assessment!AH17)</f>
        <v/>
      </c>
      <c r="G29" s="12" t="str">
        <f aca="false">IF(Assessment!$A17="","",Assessment!AG17)</f>
        <v/>
      </c>
      <c r="H29" s="12" t="str">
        <f aca="false">IF(Assessment!$A17="","",Assessment!AE17)</f>
        <v/>
      </c>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12" t="str">
        <f aca="false">IF(Assessment!$A18="","",Assessment!A18)</f>
        <v/>
      </c>
      <c r="B30" s="12" t="str">
        <f aca="false">IF(Assessment!$A18="","",Assessment!B18)</f>
        <v/>
      </c>
      <c r="C30" s="10" t="str">
        <f aca="false">IF(Assessment!$A18="","",Assessment!U18)</f>
        <v/>
      </c>
      <c r="D30" s="10" t="str">
        <f aca="false">IF(Assessment!$A18="","",Assessment!V18)</f>
        <v/>
      </c>
      <c r="E30" s="10" t="str">
        <f aca="false">IF(Assessment!$A18="","",Assessment!W18)</f>
        <v/>
      </c>
      <c r="F30" s="12" t="str">
        <f aca="false">IF(Assessment!$A18="","",Assessment!AH18)</f>
        <v/>
      </c>
      <c r="G30" s="12" t="str">
        <f aca="false">IF(Assessment!$A18="","",Assessment!AG18)</f>
        <v/>
      </c>
      <c r="H30" s="12" t="str">
        <f aca="false">IF(Assessment!$A18="","",Assessment!AE18)</f>
        <v/>
      </c>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12" t="str">
        <f aca="false">IF(Assessment!$A19="","",Assessment!A19)</f>
        <v/>
      </c>
      <c r="B31" s="12" t="str">
        <f aca="false">IF(Assessment!$A19="","",Assessment!B19)</f>
        <v/>
      </c>
      <c r="C31" s="10" t="str">
        <f aca="false">IF(Assessment!$A19="","",Assessment!U19)</f>
        <v/>
      </c>
      <c r="D31" s="10" t="str">
        <f aca="false">IF(Assessment!$A19="","",Assessment!V19)</f>
        <v/>
      </c>
      <c r="E31" s="10" t="str">
        <f aca="false">IF(Assessment!$A19="","",Assessment!W19)</f>
        <v/>
      </c>
      <c r="F31" s="12" t="str">
        <f aca="false">IF(Assessment!$A19="","",Assessment!AH19)</f>
        <v/>
      </c>
      <c r="G31" s="12" t="str">
        <f aca="false">IF(Assessment!$A19="","",Assessment!AG19)</f>
        <v/>
      </c>
      <c r="H31" s="12" t="str">
        <f aca="false">IF(Assessment!$A19="","",Assessment!AE19)</f>
        <v/>
      </c>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12" t="str">
        <f aca="false">IF(Assessment!$A20="","",Assessment!A20)</f>
        <v/>
      </c>
      <c r="B32" s="12" t="str">
        <f aca="false">IF(Assessment!$A20="","",Assessment!B20)</f>
        <v/>
      </c>
      <c r="C32" s="10" t="str">
        <f aca="false">IF(Assessment!$A20="","",Assessment!U20)</f>
        <v/>
      </c>
      <c r="D32" s="10" t="str">
        <f aca="false">IF(Assessment!$A20="","",Assessment!V20)</f>
        <v/>
      </c>
      <c r="E32" s="10" t="str">
        <f aca="false">IF(Assessment!$A20="","",Assessment!W20)</f>
        <v/>
      </c>
      <c r="F32" s="12" t="str">
        <f aca="false">IF(Assessment!$A20="","",Assessment!AH20)</f>
        <v/>
      </c>
      <c r="G32" s="12" t="str">
        <f aca="false">IF(Assessment!$A20="","",Assessment!AG20)</f>
        <v/>
      </c>
      <c r="H32" s="12" t="str">
        <f aca="false">IF(Assessment!$A20="","",Assessment!AE20)</f>
        <v/>
      </c>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12" t="str">
        <f aca="false">IF(Assessment!$A21="","",Assessment!A21)</f>
        <v/>
      </c>
      <c r="B33" s="12" t="str">
        <f aca="false">IF(Assessment!$A21="","",Assessment!B21)</f>
        <v/>
      </c>
      <c r="C33" s="10" t="str">
        <f aca="false">IF(Assessment!$A21="","",Assessment!U21)</f>
        <v/>
      </c>
      <c r="D33" s="10" t="str">
        <f aca="false">IF(Assessment!$A21="","",Assessment!V21)</f>
        <v/>
      </c>
      <c r="E33" s="10" t="str">
        <f aca="false">IF(Assessment!$A21="","",Assessment!W21)</f>
        <v/>
      </c>
      <c r="F33" s="12" t="str">
        <f aca="false">IF(Assessment!$A21="","",Assessment!AH21)</f>
        <v/>
      </c>
      <c r="G33" s="12" t="str">
        <f aca="false">IF(Assessment!$A21="","",Assessment!AG21)</f>
        <v/>
      </c>
      <c r="H33" s="12" t="str">
        <f aca="false">IF(Assessment!$A21="","",Assessment!AE21)</f>
        <v/>
      </c>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12" t="str">
        <f aca="false">IF(Assessment!$A22="","",Assessment!A22)</f>
        <v/>
      </c>
      <c r="B34" s="12" t="str">
        <f aca="false">IF(Assessment!$A22="","",Assessment!B22)</f>
        <v/>
      </c>
      <c r="C34" s="10" t="str">
        <f aca="false">IF(Assessment!$A22="","",Assessment!U22)</f>
        <v/>
      </c>
      <c r="D34" s="10" t="str">
        <f aca="false">IF(Assessment!$A22="","",Assessment!V22)</f>
        <v/>
      </c>
      <c r="E34" s="10" t="str">
        <f aca="false">IF(Assessment!$A22="","",Assessment!W22)</f>
        <v/>
      </c>
      <c r="F34" s="12" t="str">
        <f aca="false">IF(Assessment!$A22="","",Assessment!AH22)</f>
        <v/>
      </c>
      <c r="G34" s="12" t="str">
        <f aca="false">IF(Assessment!$A22="","",Assessment!AG22)</f>
        <v/>
      </c>
      <c r="H34" s="12" t="str">
        <f aca="false">IF(Assessment!$A22="","",Assessment!AE22)</f>
        <v/>
      </c>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12" t="str">
        <f aca="false">IF(Assessment!$A23="","",Assessment!A23)</f>
        <v/>
      </c>
      <c r="B35" s="12" t="str">
        <f aca="false">IF(Assessment!$A23="","",Assessment!B23)</f>
        <v/>
      </c>
      <c r="C35" s="10" t="str">
        <f aca="false">IF(Assessment!$A23="","",Assessment!U23)</f>
        <v/>
      </c>
      <c r="D35" s="10" t="str">
        <f aca="false">IF(Assessment!$A23="","",Assessment!V23)</f>
        <v/>
      </c>
      <c r="E35" s="10" t="str">
        <f aca="false">IF(Assessment!$A23="","",Assessment!W23)</f>
        <v/>
      </c>
      <c r="F35" s="12" t="str">
        <f aca="false">IF(Assessment!$A23="","",Assessment!AH23)</f>
        <v/>
      </c>
      <c r="G35" s="12" t="str">
        <f aca="false">IF(Assessment!$A23="","",Assessment!AG23)</f>
        <v/>
      </c>
      <c r="H35" s="12" t="str">
        <f aca="false">IF(Assessment!$A23="","",Assessment!AE23)</f>
        <v/>
      </c>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12" t="str">
        <f aca="false">IF(Assessment!$A24="","",Assessment!A24)</f>
        <v/>
      </c>
      <c r="B36" s="12" t="str">
        <f aca="false">IF(Assessment!$A24="","",Assessment!B24)</f>
        <v/>
      </c>
      <c r="C36" s="10" t="str">
        <f aca="false">IF(Assessment!$A24="","",Assessment!U24)</f>
        <v/>
      </c>
      <c r="D36" s="10" t="str">
        <f aca="false">IF(Assessment!$A24="","",Assessment!V24)</f>
        <v/>
      </c>
      <c r="E36" s="10" t="str">
        <f aca="false">IF(Assessment!$A24="","",Assessment!W24)</f>
        <v/>
      </c>
      <c r="F36" s="12" t="str">
        <f aca="false">IF(Assessment!$A24="","",Assessment!AH24)</f>
        <v/>
      </c>
      <c r="G36" s="12" t="str">
        <f aca="false">IF(Assessment!$A24="","",Assessment!AG24)</f>
        <v/>
      </c>
      <c r="H36" s="12" t="str">
        <f aca="false">IF(Assessment!$A24="","",Assessment!AE24)</f>
        <v/>
      </c>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3">
    <mergeCell ref="A1:H1"/>
    <mergeCell ref="A2:H2"/>
    <mergeCell ref="A15:H15"/>
  </mergeCells>
  <conditionalFormatting sqref="B5:B12">
    <cfRule type="cellIs" priority="2" operator="greaterThan" aboveAverage="0" equalAverage="0" bottom="0" percent="0" rank="0" text="" dxfId="0">
      <formula>0</formula>
    </cfRule>
  </conditionalFormatting>
  <conditionalFormatting sqref="B9:B12">
    <cfRule type="cellIs" priority="3" operator="greaterThan" aboveAverage="0" equalAverage="0" bottom="0" percent="0" rank="0" text="" dxfId="1">
      <formula>0</formula>
    </cfRule>
  </conditionalFormatting>
  <conditionalFormatting sqref="E17:E21">
    <cfRule type="cellIs" priority="4" operator="lessThan" aboveAverage="0" equalAverage="0" bottom="0" percent="0" rank="0" text="" dxfId="1">
      <formula>0</formula>
    </cfRule>
  </conditionalFormatting>
  <conditionalFormatting sqref="F17:F21">
    <cfRule type="expression" priority="5" aboveAverage="0" equalAverage="0" bottom="0" percent="0" rank="0" text="" dxfId="0">
      <formula>F17="Edge Orbit"</formula>
    </cfRule>
    <cfRule type="expression" priority="6" aboveAverage="0" equalAverage="0" bottom="0" percent="0" rank="0" text="" dxfId="1">
      <formula>OR(F17="Unstable Orbit",F17="Critical Orbit")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22"/>
    <col collapsed="false" customWidth="true" hidden="false" outlineLevel="0" max="3" min="3" style="1" width="24"/>
    <col collapsed="false" customWidth="true" hidden="false" outlineLevel="0" max="4" min="4" style="1" width="14"/>
    <col collapsed="false" customWidth="true" hidden="false" outlineLevel="0" max="7" min="5" style="1" width="16"/>
    <col collapsed="false" customWidth="true" hidden="false" outlineLevel="0" max="8" min="8" style="1" width="18"/>
    <col collapsed="false" customWidth="true" hidden="false" outlineLevel="0" max="9" min="9" style="1" width="14"/>
    <col collapsed="false" customWidth="true" hidden="false" outlineLevel="0" max="10" min="10" style="1" width="19"/>
    <col collapsed="false" customWidth="true" hidden="false" outlineLevel="0" max="11" min="11" style="1" width="18"/>
    <col collapsed="false" customWidth="true" hidden="false" outlineLevel="0" max="12" min="12" style="1" width="14"/>
    <col collapsed="false" customWidth="true" hidden="false" outlineLevel="0" max="13" min="13" style="1" width="16"/>
    <col collapsed="false" customWidth="true" hidden="false" outlineLevel="0" max="14" min="14" style="1" width="18"/>
    <col collapsed="false" customWidth="true" hidden="false" outlineLevel="0" max="15" min="15" style="1" width="16"/>
    <col collapsed="false" customWidth="true" hidden="false" outlineLevel="0" max="16" min="16" style="1" width="22"/>
    <col collapsed="false" customWidth="true" hidden="false" outlineLevel="0" max="18" min="17" style="1" width="20"/>
    <col collapsed="false" customWidth="true" hidden="false" outlineLevel="0" max="19" min="19" style="1" width="16"/>
    <col collapsed="false" customWidth="true" hidden="false" outlineLevel="0" max="20" min="20" style="1" width="35"/>
    <col collapsed="false" customWidth="true" hidden="false" outlineLevel="0" max="23" min="21" style="1" width="10"/>
    <col collapsed="false" customWidth="true" hidden="false" outlineLevel="0" max="24" min="24" style="1" width="18"/>
    <col collapsed="false" customWidth="true" hidden="false" outlineLevel="0" max="25" min="25" style="1" width="34"/>
    <col collapsed="false" customWidth="true" hidden="false" outlineLevel="0" max="26" min="26" style="1" width="16"/>
    <col collapsed="false" customWidth="true" hidden="false" outlineLevel="0" max="27" min="27" style="1" width="20"/>
    <col collapsed="false" customWidth="true" hidden="false" outlineLevel="0" max="30" min="28" style="1" width="22"/>
    <col collapsed="false" customWidth="true" hidden="false" outlineLevel="0" max="31" min="31" style="1" width="46"/>
    <col collapsed="false" customWidth="true" hidden="false" outlineLevel="0" max="32" min="32" style="1" width="24"/>
    <col collapsed="false" customWidth="true" hidden="false" outlineLevel="0" max="33" min="33" style="1" width="44"/>
    <col collapsed="false" customWidth="true" hidden="false" outlineLevel="0" max="34" min="34" style="1" width="16"/>
    <col collapsed="false" customWidth="true" hidden="false" outlineLevel="0" max="36" min="36" style="1" width="14"/>
  </cols>
  <sheetData>
    <row r="1" customFormat="false" ht="38.25" hidden="false" customHeight="true" outlineLevel="0" collapsed="false">
      <c r="A1" s="2" t="s">
        <v>35</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36" hidden="false" customHeight="true" outlineLevel="0" collapsed="false">
      <c r="A2" s="4" t="s">
        <v>36</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26.25" hidden="false" customHeight="true" outlineLevel="0" collapsed="false">
      <c r="A4" s="5" t="s">
        <v>37</v>
      </c>
      <c r="B4" s="5" t="s">
        <v>38</v>
      </c>
      <c r="C4" s="5" t="s">
        <v>39</v>
      </c>
      <c r="D4" s="5" t="s">
        <v>40</v>
      </c>
      <c r="E4" s="5" t="s">
        <v>41</v>
      </c>
      <c r="F4" s="5" t="s">
        <v>42</v>
      </c>
      <c r="G4" s="5" t="s">
        <v>43</v>
      </c>
      <c r="H4" s="5" t="s">
        <v>44</v>
      </c>
      <c r="I4" s="5" t="s">
        <v>45</v>
      </c>
      <c r="J4" s="5" t="s">
        <v>46</v>
      </c>
      <c r="K4" s="5" t="s">
        <v>47</v>
      </c>
      <c r="L4" s="5" t="s">
        <v>48</v>
      </c>
      <c r="M4" s="5" t="s">
        <v>49</v>
      </c>
      <c r="N4" s="5" t="s">
        <v>50</v>
      </c>
      <c r="O4" s="5" t="s">
        <v>51</v>
      </c>
      <c r="P4" s="5" t="s">
        <v>52</v>
      </c>
      <c r="Q4" s="5" t="s">
        <v>53</v>
      </c>
      <c r="R4" s="5" t="s">
        <v>54</v>
      </c>
      <c r="S4" s="5" t="s">
        <v>55</v>
      </c>
      <c r="T4" s="5" t="s">
        <v>56</v>
      </c>
      <c r="U4" s="5" t="s">
        <v>29</v>
      </c>
      <c r="V4" s="5" t="s">
        <v>30</v>
      </c>
      <c r="W4" s="5" t="s">
        <v>31</v>
      </c>
      <c r="X4" s="5" t="s">
        <v>57</v>
      </c>
      <c r="Y4" s="5" t="s">
        <v>58</v>
      </c>
      <c r="Z4" s="5" t="s">
        <v>59</v>
      </c>
      <c r="AA4" s="5" t="s">
        <v>23</v>
      </c>
      <c r="AB4" s="5" t="s">
        <v>24</v>
      </c>
      <c r="AC4" s="5" t="s">
        <v>60</v>
      </c>
      <c r="AD4" s="5" t="s">
        <v>61</v>
      </c>
      <c r="AE4" s="5" t="s">
        <v>62</v>
      </c>
      <c r="AF4" s="5" t="s">
        <v>63</v>
      </c>
      <c r="AG4" s="5" t="s">
        <v>33</v>
      </c>
      <c r="AH4" s="5" t="s">
        <v>32</v>
      </c>
      <c r="AI4" s="5" t="s">
        <v>64</v>
      </c>
      <c r="AJ4" s="5" t="s">
        <v>65</v>
      </c>
    </row>
    <row r="5" customFormat="false" ht="15" hidden="false" customHeight="true" outlineLevel="0" collapsed="false">
      <c r="A5" s="12" t="s">
        <v>66</v>
      </c>
      <c r="B5" s="12" t="s">
        <v>67</v>
      </c>
      <c r="C5" s="12" t="s">
        <v>68</v>
      </c>
      <c r="D5" s="12" t="s">
        <v>69</v>
      </c>
      <c r="E5" s="12" t="n">
        <v>1</v>
      </c>
      <c r="F5" s="12" t="n">
        <v>1</v>
      </c>
      <c r="G5" s="12" t="n">
        <v>1</v>
      </c>
      <c r="H5" s="12" t="n">
        <v>1</v>
      </c>
      <c r="I5" s="12" t="n">
        <v>1</v>
      </c>
      <c r="J5" s="12" t="n">
        <v>1</v>
      </c>
      <c r="K5" s="12" t="n">
        <v>1</v>
      </c>
      <c r="L5" s="12" t="n">
        <v>4</v>
      </c>
      <c r="M5" s="12" t="n">
        <v>4</v>
      </c>
      <c r="N5" s="12" t="n">
        <v>3</v>
      </c>
      <c r="O5" s="12" t="n">
        <v>4</v>
      </c>
      <c r="P5" s="12" t="n">
        <v>4</v>
      </c>
      <c r="Q5" s="12" t="n">
        <v>3</v>
      </c>
      <c r="R5" s="12" t="n">
        <v>3</v>
      </c>
      <c r="S5" s="12" t="n">
        <v>3</v>
      </c>
      <c r="T5" s="12" t="str">
        <f aca="false">IF($A5="","",IF(AND(MAX(L5:R5)&gt;3,S5&lt;3),"Warning: EGI &gt;3 needs Tier 3+ evidence",IF(AND(C5="Autonomous Operations Zone",S5&lt;4),"Warning: Autonomous zone needs Tier 4 evidence","OK")))</f>
        <v>OK</v>
      </c>
      <c r="U5" s="10" t="n">
        <f aca="false">IF($A5="","",IF($D5="Basic",SUM(E5:K5)/35*100,SUMPRODUCT(E5:K5,INDEX('Weighted Scoring'!$B$5:$H$13,MATCH($B5,'Weighted Scoring'!$A$5:$A$13,0),0))/SUMPRODUCT(5,INDEX('Weighted Scoring'!$B$5:$H$13,MATCH($B5,'Weighted Scoring'!$A$5:$A$13,0),0))*100))</f>
        <v>20</v>
      </c>
      <c r="V5" s="10" t="n">
        <f aca="false">IF($A5="","",IF($D5="Basic",SUM(L5:R5)/35*100,SUMPRODUCT(L5:R5,INDEX('Weighted Scoring'!$I$5:$O$13,MATCH($B5,'Weighted Scoring'!$A$5:$A$13,0),0))/SUMPRODUCT(5,INDEX('Weighted Scoring'!$I$5:$O$13,MATCH($B5,'Weighted Scoring'!$A$5:$A$13,0),0))*100))</f>
        <v>71.4285714285714</v>
      </c>
      <c r="W5" s="10" t="n">
        <f aca="false">IF($A5="","",V5-U5)</f>
        <v>51.4285714285714</v>
      </c>
      <c r="X5" s="12" t="str">
        <f aca="false">IF($A5="","",IF(W5&gt;=40,"Stable Orbit",IF(W5&gt;=15,"Controlled Orbit",IF(W5&gt;=-14,"Edge Orbit",IF(W5&gt;=-39,"Unstable Orbit","Critical Orbit")))))</f>
        <v>Stable Orbit</v>
      </c>
      <c r="Y5" s="12" t="str">
        <f aca="false">IF($A5="","",INDEX('Deployment Gates'!$C$5:$C$9,MATCH(AH5,'Deployment Gates'!$A$5:$A$9,0)))</f>
        <v>Approved for scale with monitoring</v>
      </c>
      <c r="Z5" s="12" t="s">
        <v>70</v>
      </c>
      <c r="AA5" s="12" t="str">
        <f aca="false">IF($A5="","",IF(OR(AH5="Edge Orbit",AH5="Unstable Orbit",AH5="Critical Orbit",H5&gt;=4,G5&gt;=4,E5&gt;=4,J5&gt;=4),"Yes","No"))</f>
        <v>No</v>
      </c>
      <c r="AB5" s="12" t="str">
        <f aca="false">IF($A5="","",IF(W5&lt;0,"Yes","No"))</f>
        <v>No</v>
      </c>
      <c r="AC5" s="12" t="str">
        <f aca="false">IF($A5="","",INDEX($L$4:$R$4,1,MATCH(MIN(L5:R5),L5:R5,0))&amp;IF(COUNTIF(L5:R5,MIN(L5:R5))&gt;1," (+"&amp;(COUNTIF(L5:R5,MIN(L5:R5))-1)&amp;" tied)",""))</f>
        <v>Policy Enforcement (+2 tied)</v>
      </c>
      <c r="AD5" s="12" t="str">
        <f aca="false">IF($A5="","",INDEX($E$4:$K$4,1,MATCH(MAX(E5:K5),E5:K5,0))&amp;IF(COUNTIF(E5:K5,MAX(E5:K5))&gt;1," (+"&amp;(COUNTIF(E5:K5,MAX(E5:K5))-1)&amp;" tied)",""))</f>
        <v>Decision Autonomy (+6 tied)</v>
      </c>
      <c r="AE5" s="12" t="str">
        <f aca="false">IF($A5="","",INDEX('Control Uplift Planner'!$B$5:$B$11,MATCH(INDEX($L$4:$R$4,1,MATCH(MIN(L5:R5),L5:R5,0)),'Control Uplift Planner'!$A$5:$A$11,0)))</f>
        <v>Add pre-execution and runtime policy checks; externalize policy decisions where practical.</v>
      </c>
      <c r="AF5" s="13" t="str">
        <f aca="false">IF($A5="","",IF(MIN(IF(AND(E5&gt;=4,H5&gt;=4),3,9),IF(AND(OR(C5="Governed Operations Zone",C5="Autonomous Operations Zone"),E5&gt;=3),IF(MIN(L5:N5)=0,2,IF(MIN(L5:N5)=1,3,9)),9),IF(AND(OR(C5="Governed Operations Zone",C5="Autonomous Operations Zone"),S5&lt;4),3,9))=9,"None",IF(MIN(IF(AND(E5&gt;=4,H5&gt;=4),3,9),IF(AND(OR(C5="Governed Operations Zone",C5="Autonomous Operations Zone"),E5&gt;=3),IF(MIN(L5:N5)=0,2,IF(MIN(L5:N5)=1,3,9)),9),IF(AND(OR(C5="Governed Operations Zone",C5="Autonomous Operations Zone"),S5&lt;4),3,9))=1,"Critical Orbit",IF(MIN(IF(AND(E5&gt;=4,H5&gt;=4),3,9),IF(AND(OR(C5="Governed Operations Zone",C5="Autonomous Operations Zone"),E5&gt;=3),IF(MIN(L5:N5)=0,2,IF(MIN(L5:N5)=1,3,9)),9),IF(AND(OR(C5="Governed Operations Zone",C5="Autonomous Operations Zone"),S5&lt;4),3,9))=2,"Unstable Orbit","Edge Orbit"))))</f>
        <v>None</v>
      </c>
      <c r="AG5" s="14" t="str">
        <f aca="false">IF($A5="","",IF(IF(AND(E5&gt;=4,H5&gt;=4),"R1 concentrated force; ","")&amp;IF(AND(OR(C5="Governed Operations Zone",C5="Autonomous Operations Zone"),E5&gt;=3,MIN(L5:N5)&lt;=1),"R2 mandatory control "&amp;INDEX($L$4:$N$4,1,MATCH(MIN(L5:N5),L5:N5,0))&amp;"="&amp;MIN(L5:N5)&amp;"; ","")&amp;IF(AND(OR(C5="Governed Operations Zone",C5="Autonomous Operations Zone"),S5&lt;4),"R3 evidence tier "&amp;S5&amp;"&lt;4; ","")="","-",IF(AND(E5&gt;=4,H5&gt;=4),"R1 concentrated force; ","")&amp;IF(AND(OR(C5="Governed Operations Zone",C5="Autonomous Operations Zone"),E5&gt;=3,MIN(L5:N5)&lt;=1),"R2 mandatory control "&amp;INDEX($L$4:$N$4,1,MATCH(MIN(L5:N5),L5:N5,0))&amp;"="&amp;MIN(L5:N5)&amp;"; ","")&amp;IF(AND(OR(C5="Governed Operations Zone",C5="Autonomous Operations Zone"),S5&lt;4),"R3 evidence tier "&amp;S5&amp;"&lt;4; ","")))</f>
        <v>-</v>
      </c>
      <c r="AH5" s="14" t="str">
        <f aca="false">IF($A5="","",IF(MIN(IF(X5="Critical Orbit",1,IF(X5="Unstable Orbit",2,IF(X5="Edge Orbit",3,IF(X5="Controlled Orbit",4,5)))),IF(AF5="None",9,IF(AF5="Critical Orbit",1,IF(AF5="Unstable Orbit",2,IF(AF5="Edge Orbit",3,IF(AF5="Controlled Orbit",4,5))))))=1,"Critical Orbit",IF(MIN(IF(X5="Critical Orbit",1,IF(X5="Unstable Orbit",2,IF(X5="Edge Orbit",3,IF(X5="Controlled Orbit",4,5)))),IF(AF5="None",9,IF(AF5="Critical Orbit",1,IF(AF5="Unstable Orbit",2,IF(AF5="Edge Orbit",3,IF(AF5="Controlled Orbit",4,5))))))=2,"Unstable Orbit",IF(MIN(IF(X5="Critical Orbit",1,IF(X5="Unstable Orbit",2,IF(X5="Edge Orbit",3,IF(X5="Controlled Orbit",4,5)))),IF(AF5="None",9,IF(AF5="Critical Orbit",1,IF(AF5="Unstable Orbit",2,IF(AF5="Edge Orbit",3,IF(AF5="Controlled Orbit",4,5))))))=3,"Edge Orbit",IF(MIN(IF(X5="Critical Orbit",1,IF(X5="Unstable Orbit",2,IF(X5="Edge Orbit",3,IF(X5="Controlled Orbit",4,5)))),IF(AF5="None",9,IF(AF5="Critical Orbit",1,IF(AF5="Unstable Orbit",2,IF(AF5="Edge Orbit",3,IF(AF5="Controlled Orbit",4,5))))))=4,"Controlled Orbit","Stable Orbit")))))</f>
        <v>Stable Orbit</v>
      </c>
      <c r="AJ5" s="13" t="s">
        <v>71</v>
      </c>
    </row>
    <row r="6" customFormat="false" ht="15" hidden="false" customHeight="true" outlineLevel="0" collapsed="false">
      <c r="A6" s="12" t="s">
        <v>72</v>
      </c>
      <c r="B6" s="12" t="s">
        <v>73</v>
      </c>
      <c r="C6" s="12" t="s">
        <v>74</v>
      </c>
      <c r="D6" s="12" t="s">
        <v>69</v>
      </c>
      <c r="E6" s="12" t="n">
        <v>3</v>
      </c>
      <c r="F6" s="12" t="n">
        <v>3</v>
      </c>
      <c r="G6" s="12" t="n">
        <v>3</v>
      </c>
      <c r="H6" s="12" t="n">
        <v>5</v>
      </c>
      <c r="I6" s="12" t="n">
        <v>3</v>
      </c>
      <c r="J6" s="12" t="n">
        <v>2</v>
      </c>
      <c r="K6" s="12" t="n">
        <v>2</v>
      </c>
      <c r="L6" s="12" t="n">
        <v>4</v>
      </c>
      <c r="M6" s="12" t="n">
        <v>4</v>
      </c>
      <c r="N6" s="12" t="n">
        <v>4</v>
      </c>
      <c r="O6" s="12" t="n">
        <v>3</v>
      </c>
      <c r="P6" s="12" t="n">
        <v>3</v>
      </c>
      <c r="Q6" s="12" t="n">
        <v>3</v>
      </c>
      <c r="R6" s="12" t="n">
        <v>2</v>
      </c>
      <c r="S6" s="12" t="n">
        <v>3</v>
      </c>
      <c r="T6" s="12" t="str">
        <f aca="false">IF($A6="","",IF(AND(MAX(L6:R6)&gt;3,S6&lt;3),"Warning: EGI &gt;3 needs Tier 3+ evidence",IF(AND(C6="Autonomous Operations Zone",S6&lt;4),"Warning: Autonomous zone needs Tier 4 evidence","OK")))</f>
        <v>OK</v>
      </c>
      <c r="U6" s="10" t="n">
        <f aca="false">IF($A6="","",IF($D6="Basic",SUM(E6:K6)/35*100,SUMPRODUCT(E6:K6,INDEX('Weighted Scoring'!$B$5:$H$13,MATCH($B6,'Weighted Scoring'!$A$5:$A$13,0),0))/SUMPRODUCT(5,INDEX('Weighted Scoring'!$B$5:$H$13,MATCH($B6,'Weighted Scoring'!$A$5:$A$13,0),0))*100))</f>
        <v>60</v>
      </c>
      <c r="V6" s="10" t="n">
        <f aca="false">IF($A6="","",IF($D6="Basic",SUM(L6:R6)/35*100,SUMPRODUCT(L6:R6,INDEX('Weighted Scoring'!$I$5:$O$13,MATCH($B6,'Weighted Scoring'!$A$5:$A$13,0),0))/SUMPRODUCT(5,INDEX('Weighted Scoring'!$I$5:$O$13,MATCH($B6,'Weighted Scoring'!$A$5:$A$13,0),0))*100))</f>
        <v>65.7142857142857</v>
      </c>
      <c r="W6" s="10" t="n">
        <f aca="false">IF($A6="","",V6-U6)</f>
        <v>5.71428571428571</v>
      </c>
      <c r="X6" s="12" t="str">
        <f aca="false">IF($A6="","",IF(W6&gt;=40,"Stable Orbit",IF(W6&gt;=15,"Controlled Orbit",IF(W6&gt;=-14,"Edge Orbit",IF(W6&gt;=-39,"Unstable Orbit","Critical Orbit")))))</f>
        <v>Edge Orbit</v>
      </c>
      <c r="Y6" s="12" t="str">
        <f aca="false">IF($A6="","",INDEX('Deployment Gates'!$C$5:$C$9,MATCH(AH6,'Deployment Gates'!$A$5:$A$9,0)))</f>
        <v>Pilot, sandbox, or limited production only</v>
      </c>
      <c r="Z6" s="12" t="s">
        <v>70</v>
      </c>
      <c r="AA6" s="12" t="str">
        <f aca="false">IF($A6="","",IF(OR(AH6="Edge Orbit",AH6="Unstable Orbit",AH6="Critical Orbit",H6&gt;=4,G6&gt;=4,E6&gt;=4,J6&gt;=4),"Yes","No"))</f>
        <v>Yes</v>
      </c>
      <c r="AB6" s="12" t="str">
        <f aca="false">IF($A6="","",IF(W6&lt;0,"Yes","No"))</f>
        <v>No</v>
      </c>
      <c r="AC6" s="12" t="str">
        <f aca="false">IF($A6="","",INDEX($L$4:$R$4,1,MATCH(MIN(L6:R6),L6:R6,0))&amp;IF(COUNTIF(L6:R6,MIN(L6:R6))&gt;1," (+"&amp;(COUNTIF(L6:R6,MIN(L6:R6))-1)&amp;" tied)",""))</f>
        <v>Assurance and Evaluation</v>
      </c>
      <c r="AD6" s="12" t="str">
        <f aca="false">IF($A6="","",INDEX($E$4:$K$4,1,MATCH(MAX(E6:K6),E6:K6,0))&amp;IF(COUNTIF(E6:K6,MAX(E6:K6))&gt;1," (+"&amp;(COUNTIF(E6:K6,MAX(E6:K6))-1)&amp;" tied)",""))</f>
        <v>Operational Criticality</v>
      </c>
      <c r="AE6" s="12" t="str">
        <f aca="false">IF($A6="","",INDEX('Control Uplift Planner'!$B$5:$B$11,MATCH(INDEX($L$4:$R$4,1,MATCH(MIN(L6:R6),L6:R6,0)),'Control Uplift Planner'!$A$5:$A$11,0)))</f>
        <v>Add scenario tests, red-team tests, runtime evaluation, drift monitoring, and outcome validation.</v>
      </c>
      <c r="AF6" s="13" t="str">
        <f aca="false">IF($A6="","",IF(MIN(IF(AND(E6&gt;=4,H6&gt;=4),3,9),IF(AND(OR(C6="Governed Operations Zone",C6="Autonomous Operations Zone"),E6&gt;=3),IF(MIN(L6:N6)=0,2,IF(MIN(L6:N6)=1,3,9)),9),IF(AND(OR(C6="Governed Operations Zone",C6="Autonomous Operations Zone"),S6&lt;4),3,9))=9,"None",IF(MIN(IF(AND(E6&gt;=4,H6&gt;=4),3,9),IF(AND(OR(C6="Governed Operations Zone",C6="Autonomous Operations Zone"),E6&gt;=3),IF(MIN(L6:N6)=0,2,IF(MIN(L6:N6)=1,3,9)),9),IF(AND(OR(C6="Governed Operations Zone",C6="Autonomous Operations Zone"),S6&lt;4),3,9))=1,"Critical Orbit",IF(MIN(IF(AND(E6&gt;=4,H6&gt;=4),3,9),IF(AND(OR(C6="Governed Operations Zone",C6="Autonomous Operations Zone"),E6&gt;=3),IF(MIN(L6:N6)=0,2,IF(MIN(L6:N6)=1,3,9)),9),IF(AND(OR(C6="Governed Operations Zone",C6="Autonomous Operations Zone"),S6&lt;4),3,9))=2,"Unstable Orbit","Edge Orbit"))))</f>
        <v>Edge Orbit</v>
      </c>
      <c r="AG6" s="14" t="str">
        <f aca="false">IF($A6="","",IF(IF(AND(E6&gt;=4,H6&gt;=4),"R1 concentrated force; ","")&amp;IF(AND(OR(C6="Governed Operations Zone",C6="Autonomous Operations Zone"),E6&gt;=3,MIN(L6:N6)&lt;=1),"R2 mandatory control "&amp;INDEX($L$4:$N$4,1,MATCH(MIN(L6:N6),L6:N6,0))&amp;"="&amp;MIN(L6:N6)&amp;"; ","")&amp;IF(AND(OR(C6="Governed Operations Zone",C6="Autonomous Operations Zone"),S6&lt;4),"R3 evidence tier "&amp;S6&amp;"&lt;4; ","")="","-",IF(AND(E6&gt;=4,H6&gt;=4),"R1 concentrated force; ","")&amp;IF(AND(OR(C6="Governed Operations Zone",C6="Autonomous Operations Zone"),E6&gt;=3,MIN(L6:N6)&lt;=1),"R2 mandatory control "&amp;INDEX($L$4:$N$4,1,MATCH(MIN(L6:N6),L6:N6,0))&amp;"="&amp;MIN(L6:N6)&amp;"; ","")&amp;IF(AND(OR(C6="Governed Operations Zone",C6="Autonomous Operations Zone"),S6&lt;4),"R3 evidence tier "&amp;S6&amp;"&lt;4; ","")))</f>
        <v>R3 evidence tier 3&lt;4; </v>
      </c>
      <c r="AH6" s="14" t="str">
        <f aca="false">IF($A6="","",IF(MIN(IF(X6="Critical Orbit",1,IF(X6="Unstable Orbit",2,IF(X6="Edge Orbit",3,IF(X6="Controlled Orbit",4,5)))),IF(AF6="None",9,IF(AF6="Critical Orbit",1,IF(AF6="Unstable Orbit",2,IF(AF6="Edge Orbit",3,IF(AF6="Controlled Orbit",4,5))))))=1,"Critical Orbit",IF(MIN(IF(X6="Critical Orbit",1,IF(X6="Unstable Orbit",2,IF(X6="Edge Orbit",3,IF(X6="Controlled Orbit",4,5)))),IF(AF6="None",9,IF(AF6="Critical Orbit",1,IF(AF6="Unstable Orbit",2,IF(AF6="Edge Orbit",3,IF(AF6="Controlled Orbit",4,5))))))=2,"Unstable Orbit",IF(MIN(IF(X6="Critical Orbit",1,IF(X6="Unstable Orbit",2,IF(X6="Edge Orbit",3,IF(X6="Controlled Orbit",4,5)))),IF(AF6="None",9,IF(AF6="Critical Orbit",1,IF(AF6="Unstable Orbit",2,IF(AF6="Edge Orbit",3,IF(AF6="Controlled Orbit",4,5))))))=3,"Edge Orbit",IF(MIN(IF(X6="Critical Orbit",1,IF(X6="Unstable Orbit",2,IF(X6="Edge Orbit",3,IF(X6="Controlled Orbit",4,5)))),IF(AF6="None",9,IF(AF6="Critical Orbit",1,IF(AF6="Unstable Orbit",2,IF(AF6="Edge Orbit",3,IF(AF6="Controlled Orbit",4,5))))))=4,"Controlled Orbit","Stable Orbit")))))</f>
        <v>Edge Orbit</v>
      </c>
      <c r="AJ6" s="13" t="s">
        <v>71</v>
      </c>
    </row>
    <row r="7" customFormat="false" ht="15" hidden="false" customHeight="true" outlineLevel="0" collapsed="false">
      <c r="A7" s="12" t="s">
        <v>75</v>
      </c>
      <c r="B7" s="12" t="s">
        <v>76</v>
      </c>
      <c r="C7" s="12" t="s">
        <v>74</v>
      </c>
      <c r="D7" s="12" t="s">
        <v>69</v>
      </c>
      <c r="E7" s="12" t="n">
        <v>4</v>
      </c>
      <c r="F7" s="12" t="n">
        <v>3</v>
      </c>
      <c r="G7" s="12" t="n">
        <v>4</v>
      </c>
      <c r="H7" s="12" t="n">
        <v>4</v>
      </c>
      <c r="I7" s="12" t="n">
        <v>3</v>
      </c>
      <c r="J7" s="12" t="n">
        <v>2</v>
      </c>
      <c r="K7" s="12" t="n">
        <v>3</v>
      </c>
      <c r="L7" s="12" t="n">
        <v>4</v>
      </c>
      <c r="M7" s="12" t="n">
        <v>3</v>
      </c>
      <c r="N7" s="12" t="n">
        <v>4</v>
      </c>
      <c r="O7" s="12" t="n">
        <v>3</v>
      </c>
      <c r="P7" s="12" t="n">
        <v>3</v>
      </c>
      <c r="Q7" s="12" t="n">
        <v>4</v>
      </c>
      <c r="R7" s="12" t="n">
        <v>2</v>
      </c>
      <c r="S7" s="12" t="n">
        <v>3</v>
      </c>
      <c r="T7" s="12" t="str">
        <f aca="false">IF($A7="","",IF(AND(MAX(L7:R7)&gt;3,S7&lt;3),"Warning: EGI &gt;3 needs Tier 3+ evidence",IF(AND(C7="Autonomous Operations Zone",S7&lt;4),"Warning: Autonomous zone needs Tier 4 evidence","OK")))</f>
        <v>OK</v>
      </c>
      <c r="U7" s="10" t="n">
        <f aca="false">IF($A7="","",IF($D7="Basic",SUM(E7:K7)/35*100,SUMPRODUCT(E7:K7,INDEX('Weighted Scoring'!$B$5:$H$13,MATCH($B7,'Weighted Scoring'!$A$5:$A$13,0),0))/SUMPRODUCT(5,INDEX('Weighted Scoring'!$B$5:$H$13,MATCH($B7,'Weighted Scoring'!$A$5:$A$13,0),0))*100))</f>
        <v>65.7142857142857</v>
      </c>
      <c r="V7" s="10" t="n">
        <f aca="false">IF($A7="","",IF($D7="Basic",SUM(L7:R7)/35*100,SUMPRODUCT(L7:R7,INDEX('Weighted Scoring'!$I$5:$O$13,MATCH($B7,'Weighted Scoring'!$A$5:$A$13,0),0))/SUMPRODUCT(5,INDEX('Weighted Scoring'!$I$5:$O$13,MATCH($B7,'Weighted Scoring'!$A$5:$A$13,0),0))*100))</f>
        <v>65.7142857142857</v>
      </c>
      <c r="W7" s="10" t="n">
        <f aca="false">IF($A7="","",V7-U7)</f>
        <v>0</v>
      </c>
      <c r="X7" s="12" t="str">
        <f aca="false">IF($A7="","",IF(W7&gt;=40,"Stable Orbit",IF(W7&gt;=15,"Controlled Orbit",IF(W7&gt;=-14,"Edge Orbit",IF(W7&gt;=-39,"Unstable Orbit","Critical Orbit")))))</f>
        <v>Edge Orbit</v>
      </c>
      <c r="Y7" s="12" t="str">
        <f aca="false">IF($A7="","",INDEX('Deployment Gates'!$C$5:$C$9,MATCH(AH7,'Deployment Gates'!$A$5:$A$9,0)))</f>
        <v>Pilot, sandbox, or limited production only</v>
      </c>
      <c r="Z7" s="12" t="s">
        <v>70</v>
      </c>
      <c r="AA7" s="12" t="str">
        <f aca="false">IF($A7="","",IF(OR(AH7="Edge Orbit",AH7="Unstable Orbit",AH7="Critical Orbit",H7&gt;=4,G7&gt;=4,E7&gt;=4,J7&gt;=4),"Yes","No"))</f>
        <v>Yes</v>
      </c>
      <c r="AB7" s="12" t="str">
        <f aca="false">IF($A7="","",IF(W7&lt;0,"Yes","No"))</f>
        <v>No</v>
      </c>
      <c r="AC7" s="12" t="str">
        <f aca="false">IF($A7="","",INDEX($L$4:$R$4,1,MATCH(MIN(L7:R7),L7:R7,0))&amp;IF(COUNTIF(L7:R7,MIN(L7:R7))&gt;1," (+"&amp;(COUNTIF(L7:R7,MIN(L7:R7))-1)&amp;" tied)",""))</f>
        <v>Assurance and Evaluation</v>
      </c>
      <c r="AD7" s="12" t="str">
        <f aca="false">IF($A7="","",INDEX($E$4:$K$4,1,MATCH(MAX(E7:K7),E7:K7,0))&amp;IF(COUNTIF(E7:K7,MAX(E7:K7))&gt;1," (+"&amp;(COUNTIF(E7:K7,MAX(E7:K7))-1)&amp;" tied)",""))</f>
        <v>Decision Autonomy (+2 tied)</v>
      </c>
      <c r="AE7" s="12" t="str">
        <f aca="false">IF($A7="","",INDEX('Control Uplift Planner'!$B$5:$B$11,MATCH(INDEX($L$4:$R$4,1,MATCH(MIN(L7:R7),L7:R7,0)),'Control Uplift Planner'!$A$5:$A$11,0)))</f>
        <v>Add scenario tests, red-team tests, runtime evaluation, drift monitoring, and outcome validation.</v>
      </c>
      <c r="AF7" s="13" t="str">
        <f aca="false">IF($A7="","",IF(MIN(IF(AND(E7&gt;=4,H7&gt;=4),3,9),IF(AND(OR(C7="Governed Operations Zone",C7="Autonomous Operations Zone"),E7&gt;=3),IF(MIN(L7:N7)=0,2,IF(MIN(L7:N7)=1,3,9)),9),IF(AND(OR(C7="Governed Operations Zone",C7="Autonomous Operations Zone"),S7&lt;4),3,9))=9,"None",IF(MIN(IF(AND(E7&gt;=4,H7&gt;=4),3,9),IF(AND(OR(C7="Governed Operations Zone",C7="Autonomous Operations Zone"),E7&gt;=3),IF(MIN(L7:N7)=0,2,IF(MIN(L7:N7)=1,3,9)),9),IF(AND(OR(C7="Governed Operations Zone",C7="Autonomous Operations Zone"),S7&lt;4),3,9))=1,"Critical Orbit",IF(MIN(IF(AND(E7&gt;=4,H7&gt;=4),3,9),IF(AND(OR(C7="Governed Operations Zone",C7="Autonomous Operations Zone"),E7&gt;=3),IF(MIN(L7:N7)=0,2,IF(MIN(L7:N7)=1,3,9)),9),IF(AND(OR(C7="Governed Operations Zone",C7="Autonomous Operations Zone"),S7&lt;4),3,9))=2,"Unstable Orbit","Edge Orbit"))))</f>
        <v>Edge Orbit</v>
      </c>
      <c r="AG7" s="14" t="str">
        <f aca="false">IF($A7="","",IF(IF(AND(E7&gt;=4,H7&gt;=4),"R1 concentrated force; ","")&amp;IF(AND(OR(C7="Governed Operations Zone",C7="Autonomous Operations Zone"),E7&gt;=3,MIN(L7:N7)&lt;=1),"R2 mandatory control "&amp;INDEX($L$4:$N$4,1,MATCH(MIN(L7:N7),L7:N7,0))&amp;"="&amp;MIN(L7:N7)&amp;"; ","")&amp;IF(AND(OR(C7="Governed Operations Zone",C7="Autonomous Operations Zone"),S7&lt;4),"R3 evidence tier "&amp;S7&amp;"&lt;4; ","")="","-",IF(AND(E7&gt;=4,H7&gt;=4),"R1 concentrated force; ","")&amp;IF(AND(OR(C7="Governed Operations Zone",C7="Autonomous Operations Zone"),E7&gt;=3,MIN(L7:N7)&lt;=1),"R2 mandatory control "&amp;INDEX($L$4:$N$4,1,MATCH(MIN(L7:N7),L7:N7,0))&amp;"="&amp;MIN(L7:N7)&amp;"; ","")&amp;IF(AND(OR(C7="Governed Operations Zone",C7="Autonomous Operations Zone"),S7&lt;4),"R3 evidence tier "&amp;S7&amp;"&lt;4; ","")))</f>
        <v>R1 concentrated force; R3 evidence tier 3&lt;4; </v>
      </c>
      <c r="AH7" s="14" t="str">
        <f aca="false">IF($A7="","",IF(MIN(IF(X7="Critical Orbit",1,IF(X7="Unstable Orbit",2,IF(X7="Edge Orbit",3,IF(X7="Controlled Orbit",4,5)))),IF(AF7="None",9,IF(AF7="Critical Orbit",1,IF(AF7="Unstable Orbit",2,IF(AF7="Edge Orbit",3,IF(AF7="Controlled Orbit",4,5))))))=1,"Critical Orbit",IF(MIN(IF(X7="Critical Orbit",1,IF(X7="Unstable Orbit",2,IF(X7="Edge Orbit",3,IF(X7="Controlled Orbit",4,5)))),IF(AF7="None",9,IF(AF7="Critical Orbit",1,IF(AF7="Unstable Orbit",2,IF(AF7="Edge Orbit",3,IF(AF7="Controlled Orbit",4,5))))))=2,"Unstable Orbit",IF(MIN(IF(X7="Critical Orbit",1,IF(X7="Unstable Orbit",2,IF(X7="Edge Orbit",3,IF(X7="Controlled Orbit",4,5)))),IF(AF7="None",9,IF(AF7="Critical Orbit",1,IF(AF7="Unstable Orbit",2,IF(AF7="Edge Orbit",3,IF(AF7="Controlled Orbit",4,5))))))=3,"Edge Orbit",IF(MIN(IF(X7="Critical Orbit",1,IF(X7="Unstable Orbit",2,IF(X7="Edge Orbit",3,IF(X7="Controlled Orbit",4,5)))),IF(AF7="None",9,IF(AF7="Critical Orbit",1,IF(AF7="Unstable Orbit",2,IF(AF7="Edge Orbit",3,IF(AF7="Controlled Orbit",4,5))))))=4,"Controlled Orbit","Stable Orbit")))))</f>
        <v>Edge Orbit</v>
      </c>
      <c r="AJ7" s="13" t="s">
        <v>77</v>
      </c>
    </row>
    <row r="8" customFormat="false" ht="26.25" hidden="false" customHeight="true" outlineLevel="0" collapsed="false">
      <c r="A8" s="12" t="s">
        <v>78</v>
      </c>
      <c r="B8" s="12" t="s">
        <v>79</v>
      </c>
      <c r="C8" s="12" t="s">
        <v>68</v>
      </c>
      <c r="D8" s="12" t="s">
        <v>69</v>
      </c>
      <c r="E8" s="12" t="n">
        <v>4</v>
      </c>
      <c r="F8" s="12" t="n">
        <v>3</v>
      </c>
      <c r="G8" s="12" t="n">
        <v>4</v>
      </c>
      <c r="H8" s="12" t="n">
        <v>4</v>
      </c>
      <c r="I8" s="12" t="n">
        <v>4</v>
      </c>
      <c r="J8" s="12" t="n">
        <v>4</v>
      </c>
      <c r="K8" s="12" t="n">
        <v>3</v>
      </c>
      <c r="L8" s="12" t="n">
        <v>3</v>
      </c>
      <c r="M8" s="12" t="n">
        <v>3</v>
      </c>
      <c r="N8" s="12" t="n">
        <v>3</v>
      </c>
      <c r="O8" s="12" t="n">
        <v>4</v>
      </c>
      <c r="P8" s="12" t="n">
        <v>3</v>
      </c>
      <c r="Q8" s="12" t="n">
        <v>3</v>
      </c>
      <c r="R8" s="12" t="n">
        <v>3</v>
      </c>
      <c r="S8" s="12" t="n">
        <v>3</v>
      </c>
      <c r="T8" s="12" t="str">
        <f aca="false">IF($A8="","",IF(AND(MAX(L8:R8)&gt;3,S8&lt;3),"Warning: EGI &gt;3 needs Tier 3+ evidence",IF(AND(C8="Autonomous Operations Zone",S8&lt;4),"Warning: Autonomous zone needs Tier 4 evidence","OK")))</f>
        <v>OK</v>
      </c>
      <c r="U8" s="10" t="n">
        <f aca="false">IF($A8="","",IF($D8="Basic",SUM(E8:K8)/35*100,SUMPRODUCT(E8:K8,INDEX('Weighted Scoring'!$B$5:$H$13,MATCH($B8,'Weighted Scoring'!$A$5:$A$13,0),0))/SUMPRODUCT(5,INDEX('Weighted Scoring'!$B$5:$H$13,MATCH($B8,'Weighted Scoring'!$A$5:$A$13,0),0))*100))</f>
        <v>74.2857142857143</v>
      </c>
      <c r="V8" s="10" t="n">
        <f aca="false">IF($A8="","",IF($D8="Basic",SUM(L8:R8)/35*100,SUMPRODUCT(L8:R8,INDEX('Weighted Scoring'!$I$5:$O$13,MATCH($B8,'Weighted Scoring'!$A$5:$A$13,0),0))/SUMPRODUCT(5,INDEX('Weighted Scoring'!$I$5:$O$13,MATCH($B8,'Weighted Scoring'!$A$5:$A$13,0),0))*100))</f>
        <v>62.8571428571429</v>
      </c>
      <c r="W8" s="10" t="n">
        <f aca="false">IF($A8="","",V8-U8)</f>
        <v>-11.4285714285714</v>
      </c>
      <c r="X8" s="12" t="str">
        <f aca="false">IF($A8="","",IF(W8&gt;=40,"Stable Orbit",IF(W8&gt;=15,"Controlled Orbit",IF(W8&gt;=-14,"Edge Orbit",IF(W8&gt;=-39,"Unstable Orbit","Critical Orbit")))))</f>
        <v>Edge Orbit</v>
      </c>
      <c r="Y8" s="12" t="str">
        <f aca="false">IF($A8="","",INDEX('Deployment Gates'!$C$5:$C$9,MATCH(AH8,'Deployment Gates'!$A$5:$A$9,0)))</f>
        <v>Pilot, sandbox, or limited production only</v>
      </c>
      <c r="Z8" s="12" t="s">
        <v>80</v>
      </c>
      <c r="AA8" s="12" t="str">
        <f aca="false">IF($A8="","",IF(OR(AH8="Edge Orbit",AH8="Unstable Orbit",AH8="Critical Orbit",H8&gt;=4,G8&gt;=4,E8&gt;=4,J8&gt;=4),"Yes","No"))</f>
        <v>Yes</v>
      </c>
      <c r="AB8" s="12" t="str">
        <f aca="false">IF($A8="","",IF(W8&lt;0,"Yes","No"))</f>
        <v>Yes</v>
      </c>
      <c r="AC8" s="12" t="str">
        <f aca="false">IF($A8="","",INDEX($L$4:$R$4,1,MATCH(MIN(L8:R8),L8:R8,0))&amp;IF(COUNTIF(L8:R8,MIN(L8:R8))&gt;1," (+"&amp;(COUNTIF(L8:R8,MIN(L8:R8))-1)&amp;" tied)",""))</f>
        <v>Identity (+5 tied)</v>
      </c>
      <c r="AD8" s="12" t="str">
        <f aca="false">IF($A8="","",INDEX($E$4:$K$4,1,MATCH(MAX(E8:K8),E8:K8,0))&amp;IF(COUNTIF(E8:K8,MAX(E8:K8))&gt;1," (+"&amp;(COUNTIF(E8:K8,MAX(E8:K8))-1)&amp;" tied)",""))</f>
        <v>Decision Autonomy (+4 tied)</v>
      </c>
      <c r="AE8" s="12" t="str">
        <f aca="false">IF($A8="","",INDEX('Control Uplift Planner'!$B$5:$B$11,MATCH(INDEX($L$4:$R$4,1,MATCH(MIN(L8:R8),L8:R8,0)),'Control Uplift Planner'!$A$5:$A$11,0)))</f>
        <v>Assign dedicated workload identity; remove shared credentials; add ownership metadata.</v>
      </c>
      <c r="AF8" s="13" t="str">
        <f aca="false">IF($A8="","",IF(MIN(IF(AND(E8&gt;=4,H8&gt;=4),3,9),IF(AND(OR(C8="Governed Operations Zone",C8="Autonomous Operations Zone"),E8&gt;=3),IF(MIN(L8:N8)=0,2,IF(MIN(L8:N8)=1,3,9)),9),IF(AND(OR(C8="Governed Operations Zone",C8="Autonomous Operations Zone"),S8&lt;4),3,9))=9,"None",IF(MIN(IF(AND(E8&gt;=4,H8&gt;=4),3,9),IF(AND(OR(C8="Governed Operations Zone",C8="Autonomous Operations Zone"),E8&gt;=3),IF(MIN(L8:N8)=0,2,IF(MIN(L8:N8)=1,3,9)),9),IF(AND(OR(C8="Governed Operations Zone",C8="Autonomous Operations Zone"),S8&lt;4),3,9))=1,"Critical Orbit",IF(MIN(IF(AND(E8&gt;=4,H8&gt;=4),3,9),IF(AND(OR(C8="Governed Operations Zone",C8="Autonomous Operations Zone"),E8&gt;=3),IF(MIN(L8:N8)=0,2,IF(MIN(L8:N8)=1,3,9)),9),IF(AND(OR(C8="Governed Operations Zone",C8="Autonomous Operations Zone"),S8&lt;4),3,9))=2,"Unstable Orbit","Edge Orbit"))))</f>
        <v>Edge Orbit</v>
      </c>
      <c r="AG8" s="14" t="str">
        <f aca="false">IF($A8="","",IF(IF(AND(E8&gt;=4,H8&gt;=4),"R1 concentrated force; ","")&amp;IF(AND(OR(C8="Governed Operations Zone",C8="Autonomous Operations Zone"),E8&gt;=3,MIN(L8:N8)&lt;=1),"R2 mandatory control "&amp;INDEX($L$4:$N$4,1,MATCH(MIN(L8:N8),L8:N8,0))&amp;"="&amp;MIN(L8:N8)&amp;"; ","")&amp;IF(AND(OR(C8="Governed Operations Zone",C8="Autonomous Operations Zone"),S8&lt;4),"R3 evidence tier "&amp;S8&amp;"&lt;4; ","")="","-",IF(AND(E8&gt;=4,H8&gt;=4),"R1 concentrated force; ","")&amp;IF(AND(OR(C8="Governed Operations Zone",C8="Autonomous Operations Zone"),E8&gt;=3,MIN(L8:N8)&lt;=1),"R2 mandatory control "&amp;INDEX($L$4:$N$4,1,MATCH(MIN(L8:N8),L8:N8,0))&amp;"="&amp;MIN(L8:N8)&amp;"; ","")&amp;IF(AND(OR(C8="Governed Operations Zone",C8="Autonomous Operations Zone"),S8&lt;4),"R3 evidence tier "&amp;S8&amp;"&lt;4; ","")))</f>
        <v>R1 concentrated force; </v>
      </c>
      <c r="AH8" s="14" t="str">
        <f aca="false">IF($A8="","",IF(MIN(IF(X8="Critical Orbit",1,IF(X8="Unstable Orbit",2,IF(X8="Edge Orbit",3,IF(X8="Controlled Orbit",4,5)))),IF(AF8="None",9,IF(AF8="Critical Orbit",1,IF(AF8="Unstable Orbit",2,IF(AF8="Edge Orbit",3,IF(AF8="Controlled Orbit",4,5))))))=1,"Critical Orbit",IF(MIN(IF(X8="Critical Orbit",1,IF(X8="Unstable Orbit",2,IF(X8="Edge Orbit",3,IF(X8="Controlled Orbit",4,5)))),IF(AF8="None",9,IF(AF8="Critical Orbit",1,IF(AF8="Unstable Orbit",2,IF(AF8="Edge Orbit",3,IF(AF8="Controlled Orbit",4,5))))))=2,"Unstable Orbit",IF(MIN(IF(X8="Critical Orbit",1,IF(X8="Unstable Orbit",2,IF(X8="Edge Orbit",3,IF(X8="Controlled Orbit",4,5)))),IF(AF8="None",9,IF(AF8="Critical Orbit",1,IF(AF8="Unstable Orbit",2,IF(AF8="Edge Orbit",3,IF(AF8="Controlled Orbit",4,5))))))=3,"Edge Orbit",IF(MIN(IF(X8="Critical Orbit",1,IF(X8="Unstable Orbit",2,IF(X8="Edge Orbit",3,IF(X8="Controlled Orbit",4,5)))),IF(AF8="None",9,IF(AF8="Critical Orbit",1,IF(AF8="Unstable Orbit",2,IF(AF8="Edge Orbit",3,IF(AF8="Controlled Orbit",4,5))))))=4,"Controlled Orbit","Stable Orbit")))))</f>
        <v>Edge Orbit</v>
      </c>
      <c r="AJ8" s="13" t="s">
        <v>77</v>
      </c>
    </row>
    <row r="9" customFormat="false" ht="26.25" hidden="false" customHeight="true" outlineLevel="0" collapsed="false">
      <c r="A9" s="12" t="s">
        <v>81</v>
      </c>
      <c r="B9" s="12" t="s">
        <v>82</v>
      </c>
      <c r="C9" s="12" t="s">
        <v>83</v>
      </c>
      <c r="D9" s="12" t="s">
        <v>69</v>
      </c>
      <c r="E9" s="12" t="n">
        <v>5</v>
      </c>
      <c r="F9" s="12" t="n">
        <v>4</v>
      </c>
      <c r="G9" s="12" t="n">
        <v>5</v>
      </c>
      <c r="H9" s="12" t="n">
        <v>5</v>
      </c>
      <c r="I9" s="12" t="n">
        <v>4</v>
      </c>
      <c r="J9" s="12" t="n">
        <v>3</v>
      </c>
      <c r="K9" s="12" t="n">
        <v>5</v>
      </c>
      <c r="L9" s="12" t="n">
        <v>4</v>
      </c>
      <c r="M9" s="12" t="n">
        <v>4</v>
      </c>
      <c r="N9" s="12" t="n">
        <v>4</v>
      </c>
      <c r="O9" s="12" t="n">
        <v>3</v>
      </c>
      <c r="P9" s="12" t="n">
        <v>3</v>
      </c>
      <c r="Q9" s="12" t="n">
        <v>4</v>
      </c>
      <c r="R9" s="12" t="n">
        <v>2</v>
      </c>
      <c r="S9" s="12" t="n">
        <v>3</v>
      </c>
      <c r="T9" s="12" t="str">
        <f aca="false">IF($A9="","",IF(AND(MAX(L9:R9)&gt;3,S9&lt;3),"Warning: EGI &gt;3 needs Tier 3+ evidence",IF(AND(C9="Autonomous Operations Zone",S9&lt;4),"Warning: Autonomous zone needs Tier 4 evidence","OK")))</f>
        <v>Warning: Autonomous zone needs Tier 4 evidence</v>
      </c>
      <c r="U9" s="10" t="n">
        <f aca="false">IF($A9="","",IF($D9="Basic",SUM(E9:K9)/35*100,SUMPRODUCT(E9:K9,INDEX('Weighted Scoring'!$B$5:$H$13,MATCH($B9,'Weighted Scoring'!$A$5:$A$13,0),0))/SUMPRODUCT(5,INDEX('Weighted Scoring'!$B$5:$H$13,MATCH($B9,'Weighted Scoring'!$A$5:$A$13,0),0))*100))</f>
        <v>88.5714285714286</v>
      </c>
      <c r="V9" s="10" t="n">
        <f aca="false">IF($A9="","",IF($D9="Basic",SUM(L9:R9)/35*100,SUMPRODUCT(L9:R9,INDEX('Weighted Scoring'!$I$5:$O$13,MATCH($B9,'Weighted Scoring'!$A$5:$A$13,0),0))/SUMPRODUCT(5,INDEX('Weighted Scoring'!$I$5:$O$13,MATCH($B9,'Weighted Scoring'!$A$5:$A$13,0),0))*100))</f>
        <v>68.5714285714286</v>
      </c>
      <c r="W9" s="10" t="n">
        <f aca="false">IF($A9="","",V9-U9)</f>
        <v>-20</v>
      </c>
      <c r="X9" s="12" t="str">
        <f aca="false">IF($A9="","",IF(W9&gt;=40,"Stable Orbit",IF(W9&gt;=15,"Controlled Orbit",IF(W9&gt;=-14,"Edge Orbit",IF(W9&gt;=-39,"Unstable Orbit","Critical Orbit")))))</f>
        <v>Unstable Orbit</v>
      </c>
      <c r="Y9" s="12" t="str">
        <f aca="false">IF($A9="","",INDEX('Deployment Gates'!$C$5:$C$9,MATCH(AH9,'Deployment Gates'!$A$5:$A$9,0)))</f>
        <v>Do not expand; control uplift required</v>
      </c>
      <c r="Z9" s="12" t="s">
        <v>80</v>
      </c>
      <c r="AA9" s="12" t="str">
        <f aca="false">IF($A9="","",IF(OR(AH9="Edge Orbit",AH9="Unstable Orbit",AH9="Critical Orbit",H9&gt;=4,G9&gt;=4,E9&gt;=4,J9&gt;=4),"Yes","No"))</f>
        <v>Yes</v>
      </c>
      <c r="AB9" s="12" t="str">
        <f aca="false">IF($A9="","",IF(W9&lt;0,"Yes","No"))</f>
        <v>Yes</v>
      </c>
      <c r="AC9" s="12" t="str">
        <f aca="false">IF($A9="","",INDEX($L$4:$R$4,1,MATCH(MIN(L9:R9),L9:R9,0))&amp;IF(COUNTIF(L9:R9,MIN(L9:R9))&gt;1," (+"&amp;(COUNTIF(L9:R9,MIN(L9:R9))-1)&amp;" tied)",""))</f>
        <v>Assurance and Evaluation</v>
      </c>
      <c r="AD9" s="12" t="str">
        <f aca="false">IF($A9="","",INDEX($E$4:$K$4,1,MATCH(MAX(E9:K9),E9:K9,0))&amp;IF(COUNTIF(E9:K9,MAX(E9:K9))&gt;1," (+"&amp;(COUNTIF(E9:K9,MAX(E9:K9))-1)&amp;" tied)",""))</f>
        <v>Decision Autonomy (+3 tied)</v>
      </c>
      <c r="AE9" s="12" t="str">
        <f aca="false">IF($A9="","",INDEX('Control Uplift Planner'!$B$5:$B$11,MATCH(INDEX($L$4:$R$4,1,MATCH(MIN(L9:R9),L9:R9,0)),'Control Uplift Planner'!$A$5:$A$11,0)))</f>
        <v>Add scenario tests, red-team tests, runtime evaluation, drift monitoring, and outcome validation.</v>
      </c>
      <c r="AF9" s="13" t="str">
        <f aca="false">IF($A9="","",IF(MIN(IF(AND(E9&gt;=4,H9&gt;=4),3,9),IF(AND(OR(C9="Governed Operations Zone",C9="Autonomous Operations Zone"),E9&gt;=3),IF(MIN(L9:N9)=0,2,IF(MIN(L9:N9)=1,3,9)),9),IF(AND(OR(C9="Governed Operations Zone",C9="Autonomous Operations Zone"),S9&lt;4),3,9))=9,"None",IF(MIN(IF(AND(E9&gt;=4,H9&gt;=4),3,9),IF(AND(OR(C9="Governed Operations Zone",C9="Autonomous Operations Zone"),E9&gt;=3),IF(MIN(L9:N9)=0,2,IF(MIN(L9:N9)=1,3,9)),9),IF(AND(OR(C9="Governed Operations Zone",C9="Autonomous Operations Zone"),S9&lt;4),3,9))=1,"Critical Orbit",IF(MIN(IF(AND(E9&gt;=4,H9&gt;=4),3,9),IF(AND(OR(C9="Governed Operations Zone",C9="Autonomous Operations Zone"),E9&gt;=3),IF(MIN(L9:N9)=0,2,IF(MIN(L9:N9)=1,3,9)),9),IF(AND(OR(C9="Governed Operations Zone",C9="Autonomous Operations Zone"),S9&lt;4),3,9))=2,"Unstable Orbit","Edge Orbit"))))</f>
        <v>Edge Orbit</v>
      </c>
      <c r="AG9" s="14" t="str">
        <f aca="false">IF($A9="","",IF(IF(AND(E9&gt;=4,H9&gt;=4),"R1 concentrated force; ","")&amp;IF(AND(OR(C9="Governed Operations Zone",C9="Autonomous Operations Zone"),E9&gt;=3,MIN(L9:N9)&lt;=1),"R2 mandatory control "&amp;INDEX($L$4:$N$4,1,MATCH(MIN(L9:N9),L9:N9,0))&amp;"="&amp;MIN(L9:N9)&amp;"; ","")&amp;IF(AND(OR(C9="Governed Operations Zone",C9="Autonomous Operations Zone"),S9&lt;4),"R3 evidence tier "&amp;S9&amp;"&lt;4; ","")="","-",IF(AND(E9&gt;=4,H9&gt;=4),"R1 concentrated force; ","")&amp;IF(AND(OR(C9="Governed Operations Zone",C9="Autonomous Operations Zone"),E9&gt;=3,MIN(L9:N9)&lt;=1),"R2 mandatory control "&amp;INDEX($L$4:$N$4,1,MATCH(MIN(L9:N9),L9:N9,0))&amp;"="&amp;MIN(L9:N9)&amp;"; ","")&amp;IF(AND(OR(C9="Governed Operations Zone",C9="Autonomous Operations Zone"),S9&lt;4),"R3 evidence tier "&amp;S9&amp;"&lt;4; ","")))</f>
        <v>R1 concentrated force; R3 evidence tier 3&lt;4; </v>
      </c>
      <c r="AH9" s="14" t="str">
        <f aca="false">IF($A9="","",IF(MIN(IF(X9="Critical Orbit",1,IF(X9="Unstable Orbit",2,IF(X9="Edge Orbit",3,IF(X9="Controlled Orbit",4,5)))),IF(AF9="None",9,IF(AF9="Critical Orbit",1,IF(AF9="Unstable Orbit",2,IF(AF9="Edge Orbit",3,IF(AF9="Controlled Orbit",4,5))))))=1,"Critical Orbit",IF(MIN(IF(X9="Critical Orbit",1,IF(X9="Unstable Orbit",2,IF(X9="Edge Orbit",3,IF(X9="Controlled Orbit",4,5)))),IF(AF9="None",9,IF(AF9="Critical Orbit",1,IF(AF9="Unstable Orbit",2,IF(AF9="Edge Orbit",3,IF(AF9="Controlled Orbit",4,5))))))=2,"Unstable Orbit",IF(MIN(IF(X9="Critical Orbit",1,IF(X9="Unstable Orbit",2,IF(X9="Edge Orbit",3,IF(X9="Controlled Orbit",4,5)))),IF(AF9="None",9,IF(AF9="Critical Orbit",1,IF(AF9="Unstable Orbit",2,IF(AF9="Edge Orbit",3,IF(AF9="Controlled Orbit",4,5))))))=3,"Edge Orbit",IF(MIN(IF(X9="Critical Orbit",1,IF(X9="Unstable Orbit",2,IF(X9="Edge Orbit",3,IF(X9="Controlled Orbit",4,5)))),IF(AF9="None",9,IF(AF9="Critical Orbit",1,IF(AF9="Unstable Orbit",2,IF(AF9="Edge Orbit",3,IF(AF9="Controlled Orbit",4,5))))))=4,"Controlled Orbit","Stable Orbit")))))</f>
        <v>Unstable Orbit</v>
      </c>
      <c r="AJ9" s="13" t="s">
        <v>84</v>
      </c>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12" t="str">
        <f aca="false">IF($A10="","",IF(AND(MAX(L10:R10)&gt;3,S10&lt;3),"Warning: EGI &gt;3 needs Tier 3+ evidence",IF(AND(C10="Autonomous Operations Zone",S10&lt;4),"Warning: Autonomous zone needs Tier 4 evidence","OK")))</f>
        <v/>
      </c>
      <c r="U10" s="10" t="str">
        <f aca="false">IF($A10="","",IF($D10="Basic",SUM(E10:K10)/35*100,SUMPRODUCT(E10:K10,INDEX('Weighted Scoring'!$B$5:$H$13,MATCH($B10,'Weighted Scoring'!$A$5:$A$13,0),0))/SUMPRODUCT(5,INDEX('Weighted Scoring'!$B$5:$H$13,MATCH($B10,'Weighted Scoring'!$A$5:$A$13,0),0))*100))</f>
        <v/>
      </c>
      <c r="V10" s="10" t="str">
        <f aca="false">IF($A10="","",IF($D10="Basic",SUM(L10:R10)/35*100,SUMPRODUCT(L10:R10,INDEX('Weighted Scoring'!$I$5:$O$13,MATCH($B10,'Weighted Scoring'!$A$5:$A$13,0),0))/SUMPRODUCT(5,INDEX('Weighted Scoring'!$I$5:$O$13,MATCH($B10,'Weighted Scoring'!$A$5:$A$13,0),0))*100))</f>
        <v/>
      </c>
      <c r="W10" s="10" t="str">
        <f aca="false">IF($A10="","",V10-U10)</f>
        <v/>
      </c>
      <c r="X10" s="12" t="str">
        <f aca="false">IF($A10="","",IF(W10&gt;=40,"Stable Orbit",IF(W10&gt;=15,"Controlled Orbit",IF(W10&gt;=-14,"Edge Orbit",IF(W10&gt;=-39,"Unstable Orbit","Critical Orbit")))))</f>
        <v/>
      </c>
      <c r="Y10" s="12" t="str">
        <f aca="false">IF($A10="","",INDEX('Deployment Gates'!$C$5:$C$9,MATCH(AH10,'Deployment Gates'!$A$5:$A$9,0)))</f>
        <v/>
      </c>
      <c r="Z10" s="3"/>
      <c r="AA10" s="12" t="str">
        <f aca="false">IF($A10="","",IF(OR(AH10="Edge Orbit",AH10="Unstable Orbit",AH10="Critical Orbit",H10&gt;=4,G10&gt;=4,E10&gt;=4,J10&gt;=4),"Yes","No"))</f>
        <v/>
      </c>
      <c r="AB10" s="12" t="str">
        <f aca="false">IF($A10="","",IF(W10&lt;0,"Yes","No"))</f>
        <v/>
      </c>
      <c r="AC10" s="12" t="str">
        <f aca="false">IF($A10="","",INDEX($L$4:$R$4,1,MATCH(MIN(L10:R10),L10:R10,0))&amp;IF(COUNTIF(L10:R10,MIN(L10:R10))&gt;1," (+"&amp;(COUNTIF(L10:R10,MIN(L10:R10))-1)&amp;" tied)",""))</f>
        <v/>
      </c>
      <c r="AD10" s="12" t="str">
        <f aca="false">IF($A10="","",INDEX($E$4:$K$4,1,MATCH(MAX(E10:K10),E10:K10,0))&amp;IF(COUNTIF(E10:K10,MAX(E10:K10))&gt;1," (+"&amp;(COUNTIF(E10:K10,MAX(E10:K10))-1)&amp;" tied)",""))</f>
        <v/>
      </c>
      <c r="AE10" s="12" t="str">
        <f aca="false">IF($A10="","",INDEX('Control Uplift Planner'!$B$5:$B$11,MATCH(INDEX($L$4:$R$4,1,MATCH(MIN(L10:R10),L10:R10,0)),'Control Uplift Planner'!$A$5:$A$11,0)))</f>
        <v/>
      </c>
      <c r="AF10" s="13" t="str">
        <f aca="false">IF($A10="","",IF(MIN(IF(AND(E10&gt;=4,H10&gt;=4),3,9),IF(AND(OR(C10="Governed Operations Zone",C10="Autonomous Operations Zone"),E10&gt;=3),IF(MIN(L10:N10)=0,2,IF(MIN(L10:N10)=1,3,9)),9),IF(AND(OR(C10="Governed Operations Zone",C10="Autonomous Operations Zone"),S10&lt;4),3,9))=9,"None",IF(MIN(IF(AND(E10&gt;=4,H10&gt;=4),3,9),IF(AND(OR(C10="Governed Operations Zone",C10="Autonomous Operations Zone"),E10&gt;=3),IF(MIN(L10:N10)=0,2,IF(MIN(L10:N10)=1,3,9)),9),IF(AND(OR(C10="Governed Operations Zone",C10="Autonomous Operations Zone"),S10&lt;4),3,9))=1,"Critical Orbit",IF(MIN(IF(AND(E10&gt;=4,H10&gt;=4),3,9),IF(AND(OR(C10="Governed Operations Zone",C10="Autonomous Operations Zone"),E10&gt;=3),IF(MIN(L10:N10)=0,2,IF(MIN(L10:N10)=1,3,9)),9),IF(AND(OR(C10="Governed Operations Zone",C10="Autonomous Operations Zone"),S10&lt;4),3,9))=2,"Unstable Orbit","Edge Orbit"))))</f>
        <v/>
      </c>
      <c r="AG10" s="14" t="str">
        <f aca="false">IF($A10="","",IF(IF(AND(E10&gt;=4,H10&gt;=4),"R1 concentrated force; ","")&amp;IF(AND(OR(C10="Governed Operations Zone",C10="Autonomous Operations Zone"),E10&gt;=3,MIN(L10:N10)&lt;=1),"R2 mandatory control "&amp;INDEX($L$4:$N$4,1,MATCH(MIN(L10:N10),L10:N10,0))&amp;"="&amp;MIN(L10:N10)&amp;"; ","")&amp;IF(AND(OR(C10="Governed Operations Zone",C10="Autonomous Operations Zone"),S10&lt;4),"R3 evidence tier "&amp;S10&amp;"&lt;4; ","")="","-",IF(AND(E10&gt;=4,H10&gt;=4),"R1 concentrated force; ","")&amp;IF(AND(OR(C10="Governed Operations Zone",C10="Autonomous Operations Zone"),E10&gt;=3,MIN(L10:N10)&lt;=1),"R2 mandatory control "&amp;INDEX($L$4:$N$4,1,MATCH(MIN(L10:N10),L10:N10,0))&amp;"="&amp;MIN(L10:N10)&amp;"; ","")&amp;IF(AND(OR(C10="Governed Operations Zone",C10="Autonomous Operations Zone"),S10&lt;4),"R3 evidence tier "&amp;S10&amp;"&lt;4; ","")))</f>
        <v/>
      </c>
      <c r="AH10" s="14" t="str">
        <f aca="false">IF($A10="","",IF(MIN(IF(X10="Critical Orbit",1,IF(X10="Unstable Orbit",2,IF(X10="Edge Orbit",3,IF(X10="Controlled Orbit",4,5)))),IF(AF10="None",9,IF(AF10="Critical Orbit",1,IF(AF10="Unstable Orbit",2,IF(AF10="Edge Orbit",3,IF(AF10="Controlled Orbit",4,5))))))=1,"Critical Orbit",IF(MIN(IF(X10="Critical Orbit",1,IF(X10="Unstable Orbit",2,IF(X10="Edge Orbit",3,IF(X10="Controlled Orbit",4,5)))),IF(AF10="None",9,IF(AF10="Critical Orbit",1,IF(AF10="Unstable Orbit",2,IF(AF10="Edge Orbit",3,IF(AF10="Controlled Orbit",4,5))))))=2,"Unstable Orbit",IF(MIN(IF(X10="Critical Orbit",1,IF(X10="Unstable Orbit",2,IF(X10="Edge Orbit",3,IF(X10="Controlled Orbit",4,5)))),IF(AF10="None",9,IF(AF10="Critical Orbit",1,IF(AF10="Unstable Orbit",2,IF(AF10="Edge Orbit",3,IF(AF10="Controlled Orbit",4,5))))))=3,"Edge Orbit",IF(MIN(IF(X10="Critical Orbit",1,IF(X10="Unstable Orbit",2,IF(X10="Edge Orbit",3,IF(X10="Controlled Orbit",4,5)))),IF(AF10="None",9,IF(AF10="Critical Orbit",1,IF(AF10="Unstable Orbit",2,IF(AF10="Edge Orbit",3,IF(AF10="Controlled Orbit",4,5))))))=4,"Controlled Orbit","Stable Orbit")))))</f>
        <v/>
      </c>
    </row>
    <row r="11" customFormat="false" ht="15" hidden="false" customHeight="true" outlineLevel="0" collapsed="false">
      <c r="A11" s="3"/>
      <c r="B11" s="3"/>
      <c r="C11" s="3"/>
      <c r="D11" s="3"/>
      <c r="E11" s="3"/>
      <c r="F11" s="3"/>
      <c r="G11" s="3"/>
      <c r="H11" s="3"/>
      <c r="I11" s="3"/>
      <c r="J11" s="3"/>
      <c r="K11" s="3"/>
      <c r="L11" s="3"/>
      <c r="M11" s="3"/>
      <c r="N11" s="3"/>
      <c r="O11" s="3"/>
      <c r="P11" s="3"/>
      <c r="Q11" s="3"/>
      <c r="R11" s="3"/>
      <c r="S11" s="3"/>
      <c r="T11" s="12" t="str">
        <f aca="false">IF($A11="","",IF(AND(MAX(L11:R11)&gt;3,S11&lt;3),"Warning: EGI &gt;3 needs Tier 3+ evidence",IF(AND(C11="Autonomous Operations Zone",S11&lt;4),"Warning: Autonomous zone needs Tier 4 evidence","OK")))</f>
        <v/>
      </c>
      <c r="U11" s="10" t="str">
        <f aca="false">IF($A11="","",IF($D11="Basic",SUM(E11:K11)/35*100,SUMPRODUCT(E11:K11,INDEX('Weighted Scoring'!$B$5:$H$13,MATCH($B11,'Weighted Scoring'!$A$5:$A$13,0),0))/SUMPRODUCT(5,INDEX('Weighted Scoring'!$B$5:$H$13,MATCH($B11,'Weighted Scoring'!$A$5:$A$13,0),0))*100))</f>
        <v/>
      </c>
      <c r="V11" s="10" t="str">
        <f aca="false">IF($A11="","",IF($D11="Basic",SUM(L11:R11)/35*100,SUMPRODUCT(L11:R11,INDEX('Weighted Scoring'!$I$5:$O$13,MATCH($B11,'Weighted Scoring'!$A$5:$A$13,0),0))/SUMPRODUCT(5,INDEX('Weighted Scoring'!$I$5:$O$13,MATCH($B11,'Weighted Scoring'!$A$5:$A$13,0),0))*100))</f>
        <v/>
      </c>
      <c r="W11" s="10" t="str">
        <f aca="false">IF($A11="","",V11-U11)</f>
        <v/>
      </c>
      <c r="X11" s="12" t="str">
        <f aca="false">IF($A11="","",IF(W11&gt;=40,"Stable Orbit",IF(W11&gt;=15,"Controlled Orbit",IF(W11&gt;=-14,"Edge Orbit",IF(W11&gt;=-39,"Unstable Orbit","Critical Orbit")))))</f>
        <v/>
      </c>
      <c r="Y11" s="12" t="str">
        <f aca="false">IF($A11="","",INDEX('Deployment Gates'!$C$5:$C$9,MATCH(AH11,'Deployment Gates'!$A$5:$A$9,0)))</f>
        <v/>
      </c>
      <c r="Z11" s="3"/>
      <c r="AA11" s="12" t="str">
        <f aca="false">IF($A11="","",IF(OR(AH11="Edge Orbit",AH11="Unstable Orbit",AH11="Critical Orbit",H11&gt;=4,G11&gt;=4,E11&gt;=4,J11&gt;=4),"Yes","No"))</f>
        <v/>
      </c>
      <c r="AB11" s="12" t="str">
        <f aca="false">IF($A11="","",IF(W11&lt;0,"Yes","No"))</f>
        <v/>
      </c>
      <c r="AC11" s="12" t="str">
        <f aca="false">IF($A11="","",INDEX($L$4:$R$4,1,MATCH(MIN(L11:R11),L11:R11,0))&amp;IF(COUNTIF(L11:R11,MIN(L11:R11))&gt;1," (+"&amp;(COUNTIF(L11:R11,MIN(L11:R11))-1)&amp;" tied)",""))</f>
        <v/>
      </c>
      <c r="AD11" s="12" t="str">
        <f aca="false">IF($A11="","",INDEX($E$4:$K$4,1,MATCH(MAX(E11:K11),E11:K11,0))&amp;IF(COUNTIF(E11:K11,MAX(E11:K11))&gt;1," (+"&amp;(COUNTIF(E11:K11,MAX(E11:K11))-1)&amp;" tied)",""))</f>
        <v/>
      </c>
      <c r="AE11" s="12" t="str">
        <f aca="false">IF($A11="","",INDEX('Control Uplift Planner'!$B$5:$B$11,MATCH(INDEX($L$4:$R$4,1,MATCH(MIN(L11:R11),L11:R11,0)),'Control Uplift Planner'!$A$5:$A$11,0)))</f>
        <v/>
      </c>
      <c r="AF11" s="13" t="str">
        <f aca="false">IF($A11="","",IF(MIN(IF(AND(E11&gt;=4,H11&gt;=4),3,9),IF(AND(OR(C11="Governed Operations Zone",C11="Autonomous Operations Zone"),E11&gt;=3),IF(MIN(L11:N11)=0,2,IF(MIN(L11:N11)=1,3,9)),9),IF(AND(OR(C11="Governed Operations Zone",C11="Autonomous Operations Zone"),S11&lt;4),3,9))=9,"None",IF(MIN(IF(AND(E11&gt;=4,H11&gt;=4),3,9),IF(AND(OR(C11="Governed Operations Zone",C11="Autonomous Operations Zone"),E11&gt;=3),IF(MIN(L11:N11)=0,2,IF(MIN(L11:N11)=1,3,9)),9),IF(AND(OR(C11="Governed Operations Zone",C11="Autonomous Operations Zone"),S11&lt;4),3,9))=1,"Critical Orbit",IF(MIN(IF(AND(E11&gt;=4,H11&gt;=4),3,9),IF(AND(OR(C11="Governed Operations Zone",C11="Autonomous Operations Zone"),E11&gt;=3),IF(MIN(L11:N11)=0,2,IF(MIN(L11:N11)=1,3,9)),9),IF(AND(OR(C11="Governed Operations Zone",C11="Autonomous Operations Zone"),S11&lt;4),3,9))=2,"Unstable Orbit","Edge Orbit"))))</f>
        <v/>
      </c>
      <c r="AG11" s="14" t="str">
        <f aca="false">IF($A11="","",IF(IF(AND(E11&gt;=4,H11&gt;=4),"R1 concentrated force; ","")&amp;IF(AND(OR(C11="Governed Operations Zone",C11="Autonomous Operations Zone"),E11&gt;=3,MIN(L11:N11)&lt;=1),"R2 mandatory control "&amp;INDEX($L$4:$N$4,1,MATCH(MIN(L11:N11),L11:N11,0))&amp;"="&amp;MIN(L11:N11)&amp;"; ","")&amp;IF(AND(OR(C11="Governed Operations Zone",C11="Autonomous Operations Zone"),S11&lt;4),"R3 evidence tier "&amp;S11&amp;"&lt;4; ","")="","-",IF(AND(E11&gt;=4,H11&gt;=4),"R1 concentrated force; ","")&amp;IF(AND(OR(C11="Governed Operations Zone",C11="Autonomous Operations Zone"),E11&gt;=3,MIN(L11:N11)&lt;=1),"R2 mandatory control "&amp;INDEX($L$4:$N$4,1,MATCH(MIN(L11:N11),L11:N11,0))&amp;"="&amp;MIN(L11:N11)&amp;"; ","")&amp;IF(AND(OR(C11="Governed Operations Zone",C11="Autonomous Operations Zone"),S11&lt;4),"R3 evidence tier "&amp;S11&amp;"&lt;4; ","")))</f>
        <v/>
      </c>
      <c r="AH11" s="14" t="str">
        <f aca="false">IF($A11="","",IF(MIN(IF(X11="Critical Orbit",1,IF(X11="Unstable Orbit",2,IF(X11="Edge Orbit",3,IF(X11="Controlled Orbit",4,5)))),IF(AF11="None",9,IF(AF11="Critical Orbit",1,IF(AF11="Unstable Orbit",2,IF(AF11="Edge Orbit",3,IF(AF11="Controlled Orbit",4,5))))))=1,"Critical Orbit",IF(MIN(IF(X11="Critical Orbit",1,IF(X11="Unstable Orbit",2,IF(X11="Edge Orbit",3,IF(X11="Controlled Orbit",4,5)))),IF(AF11="None",9,IF(AF11="Critical Orbit",1,IF(AF11="Unstable Orbit",2,IF(AF11="Edge Orbit",3,IF(AF11="Controlled Orbit",4,5))))))=2,"Unstable Orbit",IF(MIN(IF(X11="Critical Orbit",1,IF(X11="Unstable Orbit",2,IF(X11="Edge Orbit",3,IF(X11="Controlled Orbit",4,5)))),IF(AF11="None",9,IF(AF11="Critical Orbit",1,IF(AF11="Unstable Orbit",2,IF(AF11="Edge Orbit",3,IF(AF11="Controlled Orbit",4,5))))))=3,"Edge Orbit",IF(MIN(IF(X11="Critical Orbit",1,IF(X11="Unstable Orbit",2,IF(X11="Edge Orbit",3,IF(X11="Controlled Orbit",4,5)))),IF(AF11="None",9,IF(AF11="Critical Orbit",1,IF(AF11="Unstable Orbit",2,IF(AF11="Edge Orbit",3,IF(AF11="Controlled Orbit",4,5))))))=4,"Controlled Orbit","Stable Orbit")))))</f>
        <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12" t="str">
        <f aca="false">IF($A12="","",IF(AND(MAX(L12:R12)&gt;3,S12&lt;3),"Warning: EGI &gt;3 needs Tier 3+ evidence",IF(AND(C12="Autonomous Operations Zone",S12&lt;4),"Warning: Autonomous zone needs Tier 4 evidence","OK")))</f>
        <v/>
      </c>
      <c r="U12" s="10" t="str">
        <f aca="false">IF($A12="","",IF($D12="Basic",SUM(E12:K12)/35*100,SUMPRODUCT(E12:K12,INDEX('Weighted Scoring'!$B$5:$H$13,MATCH($B12,'Weighted Scoring'!$A$5:$A$13,0),0))/SUMPRODUCT(5,INDEX('Weighted Scoring'!$B$5:$H$13,MATCH($B12,'Weighted Scoring'!$A$5:$A$13,0),0))*100))</f>
        <v/>
      </c>
      <c r="V12" s="10" t="str">
        <f aca="false">IF($A12="","",IF($D12="Basic",SUM(L12:R12)/35*100,SUMPRODUCT(L12:R12,INDEX('Weighted Scoring'!$I$5:$O$13,MATCH($B12,'Weighted Scoring'!$A$5:$A$13,0),0))/SUMPRODUCT(5,INDEX('Weighted Scoring'!$I$5:$O$13,MATCH($B12,'Weighted Scoring'!$A$5:$A$13,0),0))*100))</f>
        <v/>
      </c>
      <c r="W12" s="10" t="str">
        <f aca="false">IF($A12="","",V12-U12)</f>
        <v/>
      </c>
      <c r="X12" s="12" t="str">
        <f aca="false">IF($A12="","",IF(W12&gt;=40,"Stable Orbit",IF(W12&gt;=15,"Controlled Orbit",IF(W12&gt;=-14,"Edge Orbit",IF(W12&gt;=-39,"Unstable Orbit","Critical Orbit")))))</f>
        <v/>
      </c>
      <c r="Y12" s="12" t="str">
        <f aca="false">IF($A12="","",INDEX('Deployment Gates'!$C$5:$C$9,MATCH(AH12,'Deployment Gates'!$A$5:$A$9,0)))</f>
        <v/>
      </c>
      <c r="Z12" s="3"/>
      <c r="AA12" s="12" t="str">
        <f aca="false">IF($A12="","",IF(OR(AH12="Edge Orbit",AH12="Unstable Orbit",AH12="Critical Orbit",H12&gt;=4,G12&gt;=4,E12&gt;=4,J12&gt;=4),"Yes","No"))</f>
        <v/>
      </c>
      <c r="AB12" s="12" t="str">
        <f aca="false">IF($A12="","",IF(W12&lt;0,"Yes","No"))</f>
        <v/>
      </c>
      <c r="AC12" s="12" t="str">
        <f aca="false">IF($A12="","",INDEX($L$4:$R$4,1,MATCH(MIN(L12:R12),L12:R12,0))&amp;IF(COUNTIF(L12:R12,MIN(L12:R12))&gt;1," (+"&amp;(COUNTIF(L12:R12,MIN(L12:R12))-1)&amp;" tied)",""))</f>
        <v/>
      </c>
      <c r="AD12" s="12" t="str">
        <f aca="false">IF($A12="","",INDEX($E$4:$K$4,1,MATCH(MAX(E12:K12),E12:K12,0))&amp;IF(COUNTIF(E12:K12,MAX(E12:K12))&gt;1," (+"&amp;(COUNTIF(E12:K12,MAX(E12:K12))-1)&amp;" tied)",""))</f>
        <v/>
      </c>
      <c r="AE12" s="12" t="str">
        <f aca="false">IF($A12="","",INDEX('Control Uplift Planner'!$B$5:$B$11,MATCH(INDEX($L$4:$R$4,1,MATCH(MIN(L12:R12),L12:R12,0)),'Control Uplift Planner'!$A$5:$A$11,0)))</f>
        <v/>
      </c>
      <c r="AF12" s="13" t="str">
        <f aca="false">IF($A12="","",IF(MIN(IF(AND(E12&gt;=4,H12&gt;=4),3,9),IF(AND(OR(C12="Governed Operations Zone",C12="Autonomous Operations Zone"),E12&gt;=3),IF(MIN(L12:N12)=0,2,IF(MIN(L12:N12)=1,3,9)),9),IF(AND(OR(C12="Governed Operations Zone",C12="Autonomous Operations Zone"),S12&lt;4),3,9))=9,"None",IF(MIN(IF(AND(E12&gt;=4,H12&gt;=4),3,9),IF(AND(OR(C12="Governed Operations Zone",C12="Autonomous Operations Zone"),E12&gt;=3),IF(MIN(L12:N12)=0,2,IF(MIN(L12:N12)=1,3,9)),9),IF(AND(OR(C12="Governed Operations Zone",C12="Autonomous Operations Zone"),S12&lt;4),3,9))=1,"Critical Orbit",IF(MIN(IF(AND(E12&gt;=4,H12&gt;=4),3,9),IF(AND(OR(C12="Governed Operations Zone",C12="Autonomous Operations Zone"),E12&gt;=3),IF(MIN(L12:N12)=0,2,IF(MIN(L12:N12)=1,3,9)),9),IF(AND(OR(C12="Governed Operations Zone",C12="Autonomous Operations Zone"),S12&lt;4),3,9))=2,"Unstable Orbit","Edge Orbit"))))</f>
        <v/>
      </c>
      <c r="AG12" s="14" t="str">
        <f aca="false">IF($A12="","",IF(IF(AND(E12&gt;=4,H12&gt;=4),"R1 concentrated force; ","")&amp;IF(AND(OR(C12="Governed Operations Zone",C12="Autonomous Operations Zone"),E12&gt;=3,MIN(L12:N12)&lt;=1),"R2 mandatory control "&amp;INDEX($L$4:$N$4,1,MATCH(MIN(L12:N12),L12:N12,0))&amp;"="&amp;MIN(L12:N12)&amp;"; ","")&amp;IF(AND(OR(C12="Governed Operations Zone",C12="Autonomous Operations Zone"),S12&lt;4),"R3 evidence tier "&amp;S12&amp;"&lt;4; ","")="","-",IF(AND(E12&gt;=4,H12&gt;=4),"R1 concentrated force; ","")&amp;IF(AND(OR(C12="Governed Operations Zone",C12="Autonomous Operations Zone"),E12&gt;=3,MIN(L12:N12)&lt;=1),"R2 mandatory control "&amp;INDEX($L$4:$N$4,1,MATCH(MIN(L12:N12),L12:N12,0))&amp;"="&amp;MIN(L12:N12)&amp;"; ","")&amp;IF(AND(OR(C12="Governed Operations Zone",C12="Autonomous Operations Zone"),S12&lt;4),"R3 evidence tier "&amp;S12&amp;"&lt;4; ","")))</f>
        <v/>
      </c>
      <c r="AH12" s="14" t="str">
        <f aca="false">IF($A12="","",IF(MIN(IF(X12="Critical Orbit",1,IF(X12="Unstable Orbit",2,IF(X12="Edge Orbit",3,IF(X12="Controlled Orbit",4,5)))),IF(AF12="None",9,IF(AF12="Critical Orbit",1,IF(AF12="Unstable Orbit",2,IF(AF12="Edge Orbit",3,IF(AF12="Controlled Orbit",4,5))))))=1,"Critical Orbit",IF(MIN(IF(X12="Critical Orbit",1,IF(X12="Unstable Orbit",2,IF(X12="Edge Orbit",3,IF(X12="Controlled Orbit",4,5)))),IF(AF12="None",9,IF(AF12="Critical Orbit",1,IF(AF12="Unstable Orbit",2,IF(AF12="Edge Orbit",3,IF(AF12="Controlled Orbit",4,5))))))=2,"Unstable Orbit",IF(MIN(IF(X12="Critical Orbit",1,IF(X12="Unstable Orbit",2,IF(X12="Edge Orbit",3,IF(X12="Controlled Orbit",4,5)))),IF(AF12="None",9,IF(AF12="Critical Orbit",1,IF(AF12="Unstable Orbit",2,IF(AF12="Edge Orbit",3,IF(AF12="Controlled Orbit",4,5))))))=3,"Edge Orbit",IF(MIN(IF(X12="Critical Orbit",1,IF(X12="Unstable Orbit",2,IF(X12="Edge Orbit",3,IF(X12="Controlled Orbit",4,5)))),IF(AF12="None",9,IF(AF12="Critical Orbit",1,IF(AF12="Unstable Orbit",2,IF(AF12="Edge Orbit",3,IF(AF12="Controlled Orbit",4,5))))))=4,"Controlled Orbit","Stable Orbit")))))</f>
        <v/>
      </c>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12" t="str">
        <f aca="false">IF($A13="","",IF(AND(MAX(L13:R13)&gt;3,S13&lt;3),"Warning: EGI &gt;3 needs Tier 3+ evidence",IF(AND(C13="Autonomous Operations Zone",S13&lt;4),"Warning: Autonomous zone needs Tier 4 evidence","OK")))</f>
        <v/>
      </c>
      <c r="U13" s="10" t="str">
        <f aca="false">IF($A13="","",IF($D13="Basic",SUM(E13:K13)/35*100,SUMPRODUCT(E13:K13,INDEX('Weighted Scoring'!$B$5:$H$13,MATCH($B13,'Weighted Scoring'!$A$5:$A$13,0),0))/SUMPRODUCT(5,INDEX('Weighted Scoring'!$B$5:$H$13,MATCH($B13,'Weighted Scoring'!$A$5:$A$13,0),0))*100))</f>
        <v/>
      </c>
      <c r="V13" s="10" t="str">
        <f aca="false">IF($A13="","",IF($D13="Basic",SUM(L13:R13)/35*100,SUMPRODUCT(L13:R13,INDEX('Weighted Scoring'!$I$5:$O$13,MATCH($B13,'Weighted Scoring'!$A$5:$A$13,0),0))/SUMPRODUCT(5,INDEX('Weighted Scoring'!$I$5:$O$13,MATCH($B13,'Weighted Scoring'!$A$5:$A$13,0),0))*100))</f>
        <v/>
      </c>
      <c r="W13" s="10" t="str">
        <f aca="false">IF($A13="","",V13-U13)</f>
        <v/>
      </c>
      <c r="X13" s="12" t="str">
        <f aca="false">IF($A13="","",IF(W13&gt;=40,"Stable Orbit",IF(W13&gt;=15,"Controlled Orbit",IF(W13&gt;=-14,"Edge Orbit",IF(W13&gt;=-39,"Unstable Orbit","Critical Orbit")))))</f>
        <v/>
      </c>
      <c r="Y13" s="12" t="str">
        <f aca="false">IF($A13="","",INDEX('Deployment Gates'!$C$5:$C$9,MATCH(AH13,'Deployment Gates'!$A$5:$A$9,0)))</f>
        <v/>
      </c>
      <c r="Z13" s="3"/>
      <c r="AA13" s="12" t="str">
        <f aca="false">IF($A13="","",IF(OR(AH13="Edge Orbit",AH13="Unstable Orbit",AH13="Critical Orbit",H13&gt;=4,G13&gt;=4,E13&gt;=4,J13&gt;=4),"Yes","No"))</f>
        <v/>
      </c>
      <c r="AB13" s="12" t="str">
        <f aca="false">IF($A13="","",IF(W13&lt;0,"Yes","No"))</f>
        <v/>
      </c>
      <c r="AC13" s="12" t="str">
        <f aca="false">IF($A13="","",INDEX($L$4:$R$4,1,MATCH(MIN(L13:R13),L13:R13,0))&amp;IF(COUNTIF(L13:R13,MIN(L13:R13))&gt;1," (+"&amp;(COUNTIF(L13:R13,MIN(L13:R13))-1)&amp;" tied)",""))</f>
        <v/>
      </c>
      <c r="AD13" s="12" t="str">
        <f aca="false">IF($A13="","",INDEX($E$4:$K$4,1,MATCH(MAX(E13:K13),E13:K13,0))&amp;IF(COUNTIF(E13:K13,MAX(E13:K13))&gt;1," (+"&amp;(COUNTIF(E13:K13,MAX(E13:K13))-1)&amp;" tied)",""))</f>
        <v/>
      </c>
      <c r="AE13" s="12" t="str">
        <f aca="false">IF($A13="","",INDEX('Control Uplift Planner'!$B$5:$B$11,MATCH(INDEX($L$4:$R$4,1,MATCH(MIN(L13:R13),L13:R13,0)),'Control Uplift Planner'!$A$5:$A$11,0)))</f>
        <v/>
      </c>
      <c r="AF13" s="13" t="str">
        <f aca="false">IF($A13="","",IF(MIN(IF(AND(E13&gt;=4,H13&gt;=4),3,9),IF(AND(OR(C13="Governed Operations Zone",C13="Autonomous Operations Zone"),E13&gt;=3),IF(MIN(L13:N13)=0,2,IF(MIN(L13:N13)=1,3,9)),9),IF(AND(OR(C13="Governed Operations Zone",C13="Autonomous Operations Zone"),S13&lt;4),3,9))=9,"None",IF(MIN(IF(AND(E13&gt;=4,H13&gt;=4),3,9),IF(AND(OR(C13="Governed Operations Zone",C13="Autonomous Operations Zone"),E13&gt;=3),IF(MIN(L13:N13)=0,2,IF(MIN(L13:N13)=1,3,9)),9),IF(AND(OR(C13="Governed Operations Zone",C13="Autonomous Operations Zone"),S13&lt;4),3,9))=1,"Critical Orbit",IF(MIN(IF(AND(E13&gt;=4,H13&gt;=4),3,9),IF(AND(OR(C13="Governed Operations Zone",C13="Autonomous Operations Zone"),E13&gt;=3),IF(MIN(L13:N13)=0,2,IF(MIN(L13:N13)=1,3,9)),9),IF(AND(OR(C13="Governed Operations Zone",C13="Autonomous Operations Zone"),S13&lt;4),3,9))=2,"Unstable Orbit","Edge Orbit"))))</f>
        <v/>
      </c>
      <c r="AG13" s="14" t="str">
        <f aca="false">IF($A13="","",IF(IF(AND(E13&gt;=4,H13&gt;=4),"R1 concentrated force; ","")&amp;IF(AND(OR(C13="Governed Operations Zone",C13="Autonomous Operations Zone"),E13&gt;=3,MIN(L13:N13)&lt;=1),"R2 mandatory control "&amp;INDEX($L$4:$N$4,1,MATCH(MIN(L13:N13),L13:N13,0))&amp;"="&amp;MIN(L13:N13)&amp;"; ","")&amp;IF(AND(OR(C13="Governed Operations Zone",C13="Autonomous Operations Zone"),S13&lt;4),"R3 evidence tier "&amp;S13&amp;"&lt;4; ","")="","-",IF(AND(E13&gt;=4,H13&gt;=4),"R1 concentrated force; ","")&amp;IF(AND(OR(C13="Governed Operations Zone",C13="Autonomous Operations Zone"),E13&gt;=3,MIN(L13:N13)&lt;=1),"R2 mandatory control "&amp;INDEX($L$4:$N$4,1,MATCH(MIN(L13:N13),L13:N13,0))&amp;"="&amp;MIN(L13:N13)&amp;"; ","")&amp;IF(AND(OR(C13="Governed Operations Zone",C13="Autonomous Operations Zone"),S13&lt;4),"R3 evidence tier "&amp;S13&amp;"&lt;4; ","")))</f>
        <v/>
      </c>
      <c r="AH13" s="14" t="str">
        <f aca="false">IF($A13="","",IF(MIN(IF(X13="Critical Orbit",1,IF(X13="Unstable Orbit",2,IF(X13="Edge Orbit",3,IF(X13="Controlled Orbit",4,5)))),IF(AF13="None",9,IF(AF13="Critical Orbit",1,IF(AF13="Unstable Orbit",2,IF(AF13="Edge Orbit",3,IF(AF13="Controlled Orbit",4,5))))))=1,"Critical Orbit",IF(MIN(IF(X13="Critical Orbit",1,IF(X13="Unstable Orbit",2,IF(X13="Edge Orbit",3,IF(X13="Controlled Orbit",4,5)))),IF(AF13="None",9,IF(AF13="Critical Orbit",1,IF(AF13="Unstable Orbit",2,IF(AF13="Edge Orbit",3,IF(AF13="Controlled Orbit",4,5))))))=2,"Unstable Orbit",IF(MIN(IF(X13="Critical Orbit",1,IF(X13="Unstable Orbit",2,IF(X13="Edge Orbit",3,IF(X13="Controlled Orbit",4,5)))),IF(AF13="None",9,IF(AF13="Critical Orbit",1,IF(AF13="Unstable Orbit",2,IF(AF13="Edge Orbit",3,IF(AF13="Controlled Orbit",4,5))))))=3,"Edge Orbit",IF(MIN(IF(X13="Critical Orbit",1,IF(X13="Unstable Orbit",2,IF(X13="Edge Orbit",3,IF(X13="Controlled Orbit",4,5)))),IF(AF13="None",9,IF(AF13="Critical Orbit",1,IF(AF13="Unstable Orbit",2,IF(AF13="Edge Orbit",3,IF(AF13="Controlled Orbit",4,5))))))=4,"Controlled Orbit","Stable Orbit")))))</f>
        <v/>
      </c>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12" t="str">
        <f aca="false">IF($A14="","",IF(AND(MAX(L14:R14)&gt;3,S14&lt;3),"Warning: EGI &gt;3 needs Tier 3+ evidence",IF(AND(C14="Autonomous Operations Zone",S14&lt;4),"Warning: Autonomous zone needs Tier 4 evidence","OK")))</f>
        <v/>
      </c>
      <c r="U14" s="10" t="str">
        <f aca="false">IF($A14="","",IF($D14="Basic",SUM(E14:K14)/35*100,SUMPRODUCT(E14:K14,INDEX('Weighted Scoring'!$B$5:$H$13,MATCH($B14,'Weighted Scoring'!$A$5:$A$13,0),0))/SUMPRODUCT(5,INDEX('Weighted Scoring'!$B$5:$H$13,MATCH($B14,'Weighted Scoring'!$A$5:$A$13,0),0))*100))</f>
        <v/>
      </c>
      <c r="V14" s="10" t="str">
        <f aca="false">IF($A14="","",IF($D14="Basic",SUM(L14:R14)/35*100,SUMPRODUCT(L14:R14,INDEX('Weighted Scoring'!$I$5:$O$13,MATCH($B14,'Weighted Scoring'!$A$5:$A$13,0),0))/SUMPRODUCT(5,INDEX('Weighted Scoring'!$I$5:$O$13,MATCH($B14,'Weighted Scoring'!$A$5:$A$13,0),0))*100))</f>
        <v/>
      </c>
      <c r="W14" s="10" t="str">
        <f aca="false">IF($A14="","",V14-U14)</f>
        <v/>
      </c>
      <c r="X14" s="12" t="str">
        <f aca="false">IF($A14="","",IF(W14&gt;=40,"Stable Orbit",IF(W14&gt;=15,"Controlled Orbit",IF(W14&gt;=-14,"Edge Orbit",IF(W14&gt;=-39,"Unstable Orbit","Critical Orbit")))))</f>
        <v/>
      </c>
      <c r="Y14" s="12" t="str">
        <f aca="false">IF($A14="","",INDEX('Deployment Gates'!$C$5:$C$9,MATCH(AH14,'Deployment Gates'!$A$5:$A$9,0)))</f>
        <v/>
      </c>
      <c r="Z14" s="3"/>
      <c r="AA14" s="12" t="str">
        <f aca="false">IF($A14="","",IF(OR(AH14="Edge Orbit",AH14="Unstable Orbit",AH14="Critical Orbit",H14&gt;=4,G14&gt;=4,E14&gt;=4,J14&gt;=4),"Yes","No"))</f>
        <v/>
      </c>
      <c r="AB14" s="12" t="str">
        <f aca="false">IF($A14="","",IF(W14&lt;0,"Yes","No"))</f>
        <v/>
      </c>
      <c r="AC14" s="12" t="str">
        <f aca="false">IF($A14="","",INDEX($L$4:$R$4,1,MATCH(MIN(L14:R14),L14:R14,0))&amp;IF(COUNTIF(L14:R14,MIN(L14:R14))&gt;1," (+"&amp;(COUNTIF(L14:R14,MIN(L14:R14))-1)&amp;" tied)",""))</f>
        <v/>
      </c>
      <c r="AD14" s="12" t="str">
        <f aca="false">IF($A14="","",INDEX($E$4:$K$4,1,MATCH(MAX(E14:K14),E14:K14,0))&amp;IF(COUNTIF(E14:K14,MAX(E14:K14))&gt;1," (+"&amp;(COUNTIF(E14:K14,MAX(E14:K14))-1)&amp;" tied)",""))</f>
        <v/>
      </c>
      <c r="AE14" s="12" t="str">
        <f aca="false">IF($A14="","",INDEX('Control Uplift Planner'!$B$5:$B$11,MATCH(INDEX($L$4:$R$4,1,MATCH(MIN(L14:R14),L14:R14,0)),'Control Uplift Planner'!$A$5:$A$11,0)))</f>
        <v/>
      </c>
      <c r="AF14" s="13" t="str">
        <f aca="false">IF($A14="","",IF(MIN(IF(AND(E14&gt;=4,H14&gt;=4),3,9),IF(AND(OR(C14="Governed Operations Zone",C14="Autonomous Operations Zone"),E14&gt;=3),IF(MIN(L14:N14)=0,2,IF(MIN(L14:N14)=1,3,9)),9),IF(AND(OR(C14="Governed Operations Zone",C14="Autonomous Operations Zone"),S14&lt;4),3,9))=9,"None",IF(MIN(IF(AND(E14&gt;=4,H14&gt;=4),3,9),IF(AND(OR(C14="Governed Operations Zone",C14="Autonomous Operations Zone"),E14&gt;=3),IF(MIN(L14:N14)=0,2,IF(MIN(L14:N14)=1,3,9)),9),IF(AND(OR(C14="Governed Operations Zone",C14="Autonomous Operations Zone"),S14&lt;4),3,9))=1,"Critical Orbit",IF(MIN(IF(AND(E14&gt;=4,H14&gt;=4),3,9),IF(AND(OR(C14="Governed Operations Zone",C14="Autonomous Operations Zone"),E14&gt;=3),IF(MIN(L14:N14)=0,2,IF(MIN(L14:N14)=1,3,9)),9),IF(AND(OR(C14="Governed Operations Zone",C14="Autonomous Operations Zone"),S14&lt;4),3,9))=2,"Unstable Orbit","Edge Orbit"))))</f>
        <v/>
      </c>
      <c r="AG14" s="14" t="str">
        <f aca="false">IF($A14="","",IF(IF(AND(E14&gt;=4,H14&gt;=4),"R1 concentrated force; ","")&amp;IF(AND(OR(C14="Governed Operations Zone",C14="Autonomous Operations Zone"),E14&gt;=3,MIN(L14:N14)&lt;=1),"R2 mandatory control "&amp;INDEX($L$4:$N$4,1,MATCH(MIN(L14:N14),L14:N14,0))&amp;"="&amp;MIN(L14:N14)&amp;"; ","")&amp;IF(AND(OR(C14="Governed Operations Zone",C14="Autonomous Operations Zone"),S14&lt;4),"R3 evidence tier "&amp;S14&amp;"&lt;4; ","")="","-",IF(AND(E14&gt;=4,H14&gt;=4),"R1 concentrated force; ","")&amp;IF(AND(OR(C14="Governed Operations Zone",C14="Autonomous Operations Zone"),E14&gt;=3,MIN(L14:N14)&lt;=1),"R2 mandatory control "&amp;INDEX($L$4:$N$4,1,MATCH(MIN(L14:N14),L14:N14,0))&amp;"="&amp;MIN(L14:N14)&amp;"; ","")&amp;IF(AND(OR(C14="Governed Operations Zone",C14="Autonomous Operations Zone"),S14&lt;4),"R3 evidence tier "&amp;S14&amp;"&lt;4; ","")))</f>
        <v/>
      </c>
      <c r="AH14" s="14" t="str">
        <f aca="false">IF($A14="","",IF(MIN(IF(X14="Critical Orbit",1,IF(X14="Unstable Orbit",2,IF(X14="Edge Orbit",3,IF(X14="Controlled Orbit",4,5)))),IF(AF14="None",9,IF(AF14="Critical Orbit",1,IF(AF14="Unstable Orbit",2,IF(AF14="Edge Orbit",3,IF(AF14="Controlled Orbit",4,5))))))=1,"Critical Orbit",IF(MIN(IF(X14="Critical Orbit",1,IF(X14="Unstable Orbit",2,IF(X14="Edge Orbit",3,IF(X14="Controlled Orbit",4,5)))),IF(AF14="None",9,IF(AF14="Critical Orbit",1,IF(AF14="Unstable Orbit",2,IF(AF14="Edge Orbit",3,IF(AF14="Controlled Orbit",4,5))))))=2,"Unstable Orbit",IF(MIN(IF(X14="Critical Orbit",1,IF(X14="Unstable Orbit",2,IF(X14="Edge Orbit",3,IF(X14="Controlled Orbit",4,5)))),IF(AF14="None",9,IF(AF14="Critical Orbit",1,IF(AF14="Unstable Orbit",2,IF(AF14="Edge Orbit",3,IF(AF14="Controlled Orbit",4,5))))))=3,"Edge Orbit",IF(MIN(IF(X14="Critical Orbit",1,IF(X14="Unstable Orbit",2,IF(X14="Edge Orbit",3,IF(X14="Controlled Orbit",4,5)))),IF(AF14="None",9,IF(AF14="Critical Orbit",1,IF(AF14="Unstable Orbit",2,IF(AF14="Edge Orbit",3,IF(AF14="Controlled Orbit",4,5))))))=4,"Controlled Orbit","Stable Orbit")))))</f>
        <v/>
      </c>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12" t="str">
        <f aca="false">IF($A15="","",IF(AND(MAX(L15:R15)&gt;3,S15&lt;3),"Warning: EGI &gt;3 needs Tier 3+ evidence",IF(AND(C15="Autonomous Operations Zone",S15&lt;4),"Warning: Autonomous zone needs Tier 4 evidence","OK")))</f>
        <v/>
      </c>
      <c r="U15" s="10" t="str">
        <f aca="false">IF($A15="","",IF($D15="Basic",SUM(E15:K15)/35*100,SUMPRODUCT(E15:K15,INDEX('Weighted Scoring'!$B$5:$H$13,MATCH($B15,'Weighted Scoring'!$A$5:$A$13,0),0))/SUMPRODUCT(5,INDEX('Weighted Scoring'!$B$5:$H$13,MATCH($B15,'Weighted Scoring'!$A$5:$A$13,0),0))*100))</f>
        <v/>
      </c>
      <c r="V15" s="10" t="str">
        <f aca="false">IF($A15="","",IF($D15="Basic",SUM(L15:R15)/35*100,SUMPRODUCT(L15:R15,INDEX('Weighted Scoring'!$I$5:$O$13,MATCH($B15,'Weighted Scoring'!$A$5:$A$13,0),0))/SUMPRODUCT(5,INDEX('Weighted Scoring'!$I$5:$O$13,MATCH($B15,'Weighted Scoring'!$A$5:$A$13,0),0))*100))</f>
        <v/>
      </c>
      <c r="W15" s="10" t="str">
        <f aca="false">IF($A15="","",V15-U15)</f>
        <v/>
      </c>
      <c r="X15" s="12" t="str">
        <f aca="false">IF($A15="","",IF(W15&gt;=40,"Stable Orbit",IF(W15&gt;=15,"Controlled Orbit",IF(W15&gt;=-14,"Edge Orbit",IF(W15&gt;=-39,"Unstable Orbit","Critical Orbit")))))</f>
        <v/>
      </c>
      <c r="Y15" s="12" t="str">
        <f aca="false">IF($A15="","",INDEX('Deployment Gates'!$C$5:$C$9,MATCH(AH15,'Deployment Gates'!$A$5:$A$9,0)))</f>
        <v/>
      </c>
      <c r="Z15" s="3"/>
      <c r="AA15" s="12" t="str">
        <f aca="false">IF($A15="","",IF(OR(AH15="Edge Orbit",AH15="Unstable Orbit",AH15="Critical Orbit",H15&gt;=4,G15&gt;=4,E15&gt;=4,J15&gt;=4),"Yes","No"))</f>
        <v/>
      </c>
      <c r="AB15" s="12" t="str">
        <f aca="false">IF($A15="","",IF(W15&lt;0,"Yes","No"))</f>
        <v/>
      </c>
      <c r="AC15" s="12" t="str">
        <f aca="false">IF($A15="","",INDEX($L$4:$R$4,1,MATCH(MIN(L15:R15),L15:R15,0))&amp;IF(COUNTIF(L15:R15,MIN(L15:R15))&gt;1," (+"&amp;(COUNTIF(L15:R15,MIN(L15:R15))-1)&amp;" tied)",""))</f>
        <v/>
      </c>
      <c r="AD15" s="12" t="str">
        <f aca="false">IF($A15="","",INDEX($E$4:$K$4,1,MATCH(MAX(E15:K15),E15:K15,0))&amp;IF(COUNTIF(E15:K15,MAX(E15:K15))&gt;1," (+"&amp;(COUNTIF(E15:K15,MAX(E15:K15))-1)&amp;" tied)",""))</f>
        <v/>
      </c>
      <c r="AE15" s="12" t="str">
        <f aca="false">IF($A15="","",INDEX('Control Uplift Planner'!$B$5:$B$11,MATCH(INDEX($L$4:$R$4,1,MATCH(MIN(L15:R15),L15:R15,0)),'Control Uplift Planner'!$A$5:$A$11,0)))</f>
        <v/>
      </c>
      <c r="AF15" s="13" t="str">
        <f aca="false">IF($A15="","",IF(MIN(IF(AND(E15&gt;=4,H15&gt;=4),3,9),IF(AND(OR(C15="Governed Operations Zone",C15="Autonomous Operations Zone"),E15&gt;=3),IF(MIN(L15:N15)=0,2,IF(MIN(L15:N15)=1,3,9)),9),IF(AND(OR(C15="Governed Operations Zone",C15="Autonomous Operations Zone"),S15&lt;4),3,9))=9,"None",IF(MIN(IF(AND(E15&gt;=4,H15&gt;=4),3,9),IF(AND(OR(C15="Governed Operations Zone",C15="Autonomous Operations Zone"),E15&gt;=3),IF(MIN(L15:N15)=0,2,IF(MIN(L15:N15)=1,3,9)),9),IF(AND(OR(C15="Governed Operations Zone",C15="Autonomous Operations Zone"),S15&lt;4),3,9))=1,"Critical Orbit",IF(MIN(IF(AND(E15&gt;=4,H15&gt;=4),3,9),IF(AND(OR(C15="Governed Operations Zone",C15="Autonomous Operations Zone"),E15&gt;=3),IF(MIN(L15:N15)=0,2,IF(MIN(L15:N15)=1,3,9)),9),IF(AND(OR(C15="Governed Operations Zone",C15="Autonomous Operations Zone"),S15&lt;4),3,9))=2,"Unstable Orbit","Edge Orbit"))))</f>
        <v/>
      </c>
      <c r="AG15" s="14" t="str">
        <f aca="false">IF($A15="","",IF(IF(AND(E15&gt;=4,H15&gt;=4),"R1 concentrated force; ","")&amp;IF(AND(OR(C15="Governed Operations Zone",C15="Autonomous Operations Zone"),E15&gt;=3,MIN(L15:N15)&lt;=1),"R2 mandatory control "&amp;INDEX($L$4:$N$4,1,MATCH(MIN(L15:N15),L15:N15,0))&amp;"="&amp;MIN(L15:N15)&amp;"; ","")&amp;IF(AND(OR(C15="Governed Operations Zone",C15="Autonomous Operations Zone"),S15&lt;4),"R3 evidence tier "&amp;S15&amp;"&lt;4; ","")="","-",IF(AND(E15&gt;=4,H15&gt;=4),"R1 concentrated force; ","")&amp;IF(AND(OR(C15="Governed Operations Zone",C15="Autonomous Operations Zone"),E15&gt;=3,MIN(L15:N15)&lt;=1),"R2 mandatory control "&amp;INDEX($L$4:$N$4,1,MATCH(MIN(L15:N15),L15:N15,0))&amp;"="&amp;MIN(L15:N15)&amp;"; ","")&amp;IF(AND(OR(C15="Governed Operations Zone",C15="Autonomous Operations Zone"),S15&lt;4),"R3 evidence tier "&amp;S15&amp;"&lt;4; ","")))</f>
        <v/>
      </c>
      <c r="AH15" s="14" t="str">
        <f aca="false">IF($A15="","",IF(MIN(IF(X15="Critical Orbit",1,IF(X15="Unstable Orbit",2,IF(X15="Edge Orbit",3,IF(X15="Controlled Orbit",4,5)))),IF(AF15="None",9,IF(AF15="Critical Orbit",1,IF(AF15="Unstable Orbit",2,IF(AF15="Edge Orbit",3,IF(AF15="Controlled Orbit",4,5))))))=1,"Critical Orbit",IF(MIN(IF(X15="Critical Orbit",1,IF(X15="Unstable Orbit",2,IF(X15="Edge Orbit",3,IF(X15="Controlled Orbit",4,5)))),IF(AF15="None",9,IF(AF15="Critical Orbit",1,IF(AF15="Unstable Orbit",2,IF(AF15="Edge Orbit",3,IF(AF15="Controlled Orbit",4,5))))))=2,"Unstable Orbit",IF(MIN(IF(X15="Critical Orbit",1,IF(X15="Unstable Orbit",2,IF(X15="Edge Orbit",3,IF(X15="Controlled Orbit",4,5)))),IF(AF15="None",9,IF(AF15="Critical Orbit",1,IF(AF15="Unstable Orbit",2,IF(AF15="Edge Orbit",3,IF(AF15="Controlled Orbit",4,5))))))=3,"Edge Orbit",IF(MIN(IF(X15="Critical Orbit",1,IF(X15="Unstable Orbit",2,IF(X15="Edge Orbit",3,IF(X15="Controlled Orbit",4,5)))),IF(AF15="None",9,IF(AF15="Critical Orbit",1,IF(AF15="Unstable Orbit",2,IF(AF15="Edge Orbit",3,IF(AF15="Controlled Orbit",4,5))))))=4,"Controlled Orbit","Stable Orbit")))))</f>
        <v/>
      </c>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12" t="str">
        <f aca="false">IF($A16="","",IF(AND(MAX(L16:R16)&gt;3,S16&lt;3),"Warning: EGI &gt;3 needs Tier 3+ evidence",IF(AND(C16="Autonomous Operations Zone",S16&lt;4),"Warning: Autonomous zone needs Tier 4 evidence","OK")))</f>
        <v/>
      </c>
      <c r="U16" s="10" t="str">
        <f aca="false">IF($A16="","",IF($D16="Basic",SUM(E16:K16)/35*100,SUMPRODUCT(E16:K16,INDEX('Weighted Scoring'!$B$5:$H$13,MATCH($B16,'Weighted Scoring'!$A$5:$A$13,0),0))/SUMPRODUCT(5,INDEX('Weighted Scoring'!$B$5:$H$13,MATCH($B16,'Weighted Scoring'!$A$5:$A$13,0),0))*100))</f>
        <v/>
      </c>
      <c r="V16" s="10" t="str">
        <f aca="false">IF($A16="","",IF($D16="Basic",SUM(L16:R16)/35*100,SUMPRODUCT(L16:R16,INDEX('Weighted Scoring'!$I$5:$O$13,MATCH($B16,'Weighted Scoring'!$A$5:$A$13,0),0))/SUMPRODUCT(5,INDEX('Weighted Scoring'!$I$5:$O$13,MATCH($B16,'Weighted Scoring'!$A$5:$A$13,0),0))*100))</f>
        <v/>
      </c>
      <c r="W16" s="10" t="str">
        <f aca="false">IF($A16="","",V16-U16)</f>
        <v/>
      </c>
      <c r="X16" s="12" t="str">
        <f aca="false">IF($A16="","",IF(W16&gt;=40,"Stable Orbit",IF(W16&gt;=15,"Controlled Orbit",IF(W16&gt;=-14,"Edge Orbit",IF(W16&gt;=-39,"Unstable Orbit","Critical Orbit")))))</f>
        <v/>
      </c>
      <c r="Y16" s="12" t="str">
        <f aca="false">IF($A16="","",INDEX('Deployment Gates'!$C$5:$C$9,MATCH(AH16,'Deployment Gates'!$A$5:$A$9,0)))</f>
        <v/>
      </c>
      <c r="Z16" s="3"/>
      <c r="AA16" s="12" t="str">
        <f aca="false">IF($A16="","",IF(OR(AH16="Edge Orbit",AH16="Unstable Orbit",AH16="Critical Orbit",H16&gt;=4,G16&gt;=4,E16&gt;=4,J16&gt;=4),"Yes","No"))</f>
        <v/>
      </c>
      <c r="AB16" s="12" t="str">
        <f aca="false">IF($A16="","",IF(W16&lt;0,"Yes","No"))</f>
        <v/>
      </c>
      <c r="AC16" s="12" t="str">
        <f aca="false">IF($A16="","",INDEX($L$4:$R$4,1,MATCH(MIN(L16:R16),L16:R16,0))&amp;IF(COUNTIF(L16:R16,MIN(L16:R16))&gt;1," (+"&amp;(COUNTIF(L16:R16,MIN(L16:R16))-1)&amp;" tied)",""))</f>
        <v/>
      </c>
      <c r="AD16" s="12" t="str">
        <f aca="false">IF($A16="","",INDEX($E$4:$K$4,1,MATCH(MAX(E16:K16),E16:K16,0))&amp;IF(COUNTIF(E16:K16,MAX(E16:K16))&gt;1," (+"&amp;(COUNTIF(E16:K16,MAX(E16:K16))-1)&amp;" tied)",""))</f>
        <v/>
      </c>
      <c r="AE16" s="12" t="str">
        <f aca="false">IF($A16="","",INDEX('Control Uplift Planner'!$B$5:$B$11,MATCH(INDEX($L$4:$R$4,1,MATCH(MIN(L16:R16),L16:R16,0)),'Control Uplift Planner'!$A$5:$A$11,0)))</f>
        <v/>
      </c>
      <c r="AF16" s="13" t="str">
        <f aca="false">IF($A16="","",IF(MIN(IF(AND(E16&gt;=4,H16&gt;=4),3,9),IF(AND(OR(C16="Governed Operations Zone",C16="Autonomous Operations Zone"),E16&gt;=3),IF(MIN(L16:N16)=0,2,IF(MIN(L16:N16)=1,3,9)),9),IF(AND(OR(C16="Governed Operations Zone",C16="Autonomous Operations Zone"),S16&lt;4),3,9))=9,"None",IF(MIN(IF(AND(E16&gt;=4,H16&gt;=4),3,9),IF(AND(OR(C16="Governed Operations Zone",C16="Autonomous Operations Zone"),E16&gt;=3),IF(MIN(L16:N16)=0,2,IF(MIN(L16:N16)=1,3,9)),9),IF(AND(OR(C16="Governed Operations Zone",C16="Autonomous Operations Zone"),S16&lt;4),3,9))=1,"Critical Orbit",IF(MIN(IF(AND(E16&gt;=4,H16&gt;=4),3,9),IF(AND(OR(C16="Governed Operations Zone",C16="Autonomous Operations Zone"),E16&gt;=3),IF(MIN(L16:N16)=0,2,IF(MIN(L16:N16)=1,3,9)),9),IF(AND(OR(C16="Governed Operations Zone",C16="Autonomous Operations Zone"),S16&lt;4),3,9))=2,"Unstable Orbit","Edge Orbit"))))</f>
        <v/>
      </c>
      <c r="AG16" s="14" t="str">
        <f aca="false">IF($A16="","",IF(IF(AND(E16&gt;=4,H16&gt;=4),"R1 concentrated force; ","")&amp;IF(AND(OR(C16="Governed Operations Zone",C16="Autonomous Operations Zone"),E16&gt;=3,MIN(L16:N16)&lt;=1),"R2 mandatory control "&amp;INDEX($L$4:$N$4,1,MATCH(MIN(L16:N16),L16:N16,0))&amp;"="&amp;MIN(L16:N16)&amp;"; ","")&amp;IF(AND(OR(C16="Governed Operations Zone",C16="Autonomous Operations Zone"),S16&lt;4),"R3 evidence tier "&amp;S16&amp;"&lt;4; ","")="","-",IF(AND(E16&gt;=4,H16&gt;=4),"R1 concentrated force; ","")&amp;IF(AND(OR(C16="Governed Operations Zone",C16="Autonomous Operations Zone"),E16&gt;=3,MIN(L16:N16)&lt;=1),"R2 mandatory control "&amp;INDEX($L$4:$N$4,1,MATCH(MIN(L16:N16),L16:N16,0))&amp;"="&amp;MIN(L16:N16)&amp;"; ","")&amp;IF(AND(OR(C16="Governed Operations Zone",C16="Autonomous Operations Zone"),S16&lt;4),"R3 evidence tier "&amp;S16&amp;"&lt;4; ","")))</f>
        <v/>
      </c>
      <c r="AH16" s="14" t="str">
        <f aca="false">IF($A16="","",IF(MIN(IF(X16="Critical Orbit",1,IF(X16="Unstable Orbit",2,IF(X16="Edge Orbit",3,IF(X16="Controlled Orbit",4,5)))),IF(AF16="None",9,IF(AF16="Critical Orbit",1,IF(AF16="Unstable Orbit",2,IF(AF16="Edge Orbit",3,IF(AF16="Controlled Orbit",4,5))))))=1,"Critical Orbit",IF(MIN(IF(X16="Critical Orbit",1,IF(X16="Unstable Orbit",2,IF(X16="Edge Orbit",3,IF(X16="Controlled Orbit",4,5)))),IF(AF16="None",9,IF(AF16="Critical Orbit",1,IF(AF16="Unstable Orbit",2,IF(AF16="Edge Orbit",3,IF(AF16="Controlled Orbit",4,5))))))=2,"Unstable Orbit",IF(MIN(IF(X16="Critical Orbit",1,IF(X16="Unstable Orbit",2,IF(X16="Edge Orbit",3,IF(X16="Controlled Orbit",4,5)))),IF(AF16="None",9,IF(AF16="Critical Orbit",1,IF(AF16="Unstable Orbit",2,IF(AF16="Edge Orbit",3,IF(AF16="Controlled Orbit",4,5))))))=3,"Edge Orbit",IF(MIN(IF(X16="Critical Orbit",1,IF(X16="Unstable Orbit",2,IF(X16="Edge Orbit",3,IF(X16="Controlled Orbit",4,5)))),IF(AF16="None",9,IF(AF16="Critical Orbit",1,IF(AF16="Unstable Orbit",2,IF(AF16="Edge Orbit",3,IF(AF16="Controlled Orbit",4,5))))))=4,"Controlled Orbit","Stable Orbit")))))</f>
        <v/>
      </c>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12" t="str">
        <f aca="false">IF($A17="","",IF(AND(MAX(L17:R17)&gt;3,S17&lt;3),"Warning: EGI &gt;3 needs Tier 3+ evidence",IF(AND(C17="Autonomous Operations Zone",S17&lt;4),"Warning: Autonomous zone needs Tier 4 evidence","OK")))</f>
        <v/>
      </c>
      <c r="U17" s="10" t="str">
        <f aca="false">IF($A17="","",IF($D17="Basic",SUM(E17:K17)/35*100,SUMPRODUCT(E17:K17,INDEX('Weighted Scoring'!$B$5:$H$13,MATCH($B17,'Weighted Scoring'!$A$5:$A$13,0),0))/SUMPRODUCT(5,INDEX('Weighted Scoring'!$B$5:$H$13,MATCH($B17,'Weighted Scoring'!$A$5:$A$13,0),0))*100))</f>
        <v/>
      </c>
      <c r="V17" s="10" t="str">
        <f aca="false">IF($A17="","",IF($D17="Basic",SUM(L17:R17)/35*100,SUMPRODUCT(L17:R17,INDEX('Weighted Scoring'!$I$5:$O$13,MATCH($B17,'Weighted Scoring'!$A$5:$A$13,0),0))/SUMPRODUCT(5,INDEX('Weighted Scoring'!$I$5:$O$13,MATCH($B17,'Weighted Scoring'!$A$5:$A$13,0),0))*100))</f>
        <v/>
      </c>
      <c r="W17" s="10" t="str">
        <f aca="false">IF($A17="","",V17-U17)</f>
        <v/>
      </c>
      <c r="X17" s="12" t="str">
        <f aca="false">IF($A17="","",IF(W17&gt;=40,"Stable Orbit",IF(W17&gt;=15,"Controlled Orbit",IF(W17&gt;=-14,"Edge Orbit",IF(W17&gt;=-39,"Unstable Orbit","Critical Orbit")))))</f>
        <v/>
      </c>
      <c r="Y17" s="12" t="str">
        <f aca="false">IF($A17="","",INDEX('Deployment Gates'!$C$5:$C$9,MATCH(AH17,'Deployment Gates'!$A$5:$A$9,0)))</f>
        <v/>
      </c>
      <c r="Z17" s="3"/>
      <c r="AA17" s="12" t="str">
        <f aca="false">IF($A17="","",IF(OR(AH17="Edge Orbit",AH17="Unstable Orbit",AH17="Critical Orbit",H17&gt;=4,G17&gt;=4,E17&gt;=4,J17&gt;=4),"Yes","No"))</f>
        <v/>
      </c>
      <c r="AB17" s="12" t="str">
        <f aca="false">IF($A17="","",IF(W17&lt;0,"Yes","No"))</f>
        <v/>
      </c>
      <c r="AC17" s="12" t="str">
        <f aca="false">IF($A17="","",INDEX($L$4:$R$4,1,MATCH(MIN(L17:R17),L17:R17,0))&amp;IF(COUNTIF(L17:R17,MIN(L17:R17))&gt;1," (+"&amp;(COUNTIF(L17:R17,MIN(L17:R17))-1)&amp;" tied)",""))</f>
        <v/>
      </c>
      <c r="AD17" s="12" t="str">
        <f aca="false">IF($A17="","",INDEX($E$4:$K$4,1,MATCH(MAX(E17:K17),E17:K17,0))&amp;IF(COUNTIF(E17:K17,MAX(E17:K17))&gt;1," (+"&amp;(COUNTIF(E17:K17,MAX(E17:K17))-1)&amp;" tied)",""))</f>
        <v/>
      </c>
      <c r="AE17" s="12" t="str">
        <f aca="false">IF($A17="","",INDEX('Control Uplift Planner'!$B$5:$B$11,MATCH(INDEX($L$4:$R$4,1,MATCH(MIN(L17:R17),L17:R17,0)),'Control Uplift Planner'!$A$5:$A$11,0)))</f>
        <v/>
      </c>
      <c r="AF17" s="13" t="str">
        <f aca="false">IF($A17="","",IF(MIN(IF(AND(E17&gt;=4,H17&gt;=4),3,9),IF(AND(OR(C17="Governed Operations Zone",C17="Autonomous Operations Zone"),E17&gt;=3),IF(MIN(L17:N17)=0,2,IF(MIN(L17:N17)=1,3,9)),9),IF(AND(OR(C17="Governed Operations Zone",C17="Autonomous Operations Zone"),S17&lt;4),3,9))=9,"None",IF(MIN(IF(AND(E17&gt;=4,H17&gt;=4),3,9),IF(AND(OR(C17="Governed Operations Zone",C17="Autonomous Operations Zone"),E17&gt;=3),IF(MIN(L17:N17)=0,2,IF(MIN(L17:N17)=1,3,9)),9),IF(AND(OR(C17="Governed Operations Zone",C17="Autonomous Operations Zone"),S17&lt;4),3,9))=1,"Critical Orbit",IF(MIN(IF(AND(E17&gt;=4,H17&gt;=4),3,9),IF(AND(OR(C17="Governed Operations Zone",C17="Autonomous Operations Zone"),E17&gt;=3),IF(MIN(L17:N17)=0,2,IF(MIN(L17:N17)=1,3,9)),9),IF(AND(OR(C17="Governed Operations Zone",C17="Autonomous Operations Zone"),S17&lt;4),3,9))=2,"Unstable Orbit","Edge Orbit"))))</f>
        <v/>
      </c>
      <c r="AG17" s="14" t="str">
        <f aca="false">IF($A17="","",IF(IF(AND(E17&gt;=4,H17&gt;=4),"R1 concentrated force; ","")&amp;IF(AND(OR(C17="Governed Operations Zone",C17="Autonomous Operations Zone"),E17&gt;=3,MIN(L17:N17)&lt;=1),"R2 mandatory control "&amp;INDEX($L$4:$N$4,1,MATCH(MIN(L17:N17),L17:N17,0))&amp;"="&amp;MIN(L17:N17)&amp;"; ","")&amp;IF(AND(OR(C17="Governed Operations Zone",C17="Autonomous Operations Zone"),S17&lt;4),"R3 evidence tier "&amp;S17&amp;"&lt;4; ","")="","-",IF(AND(E17&gt;=4,H17&gt;=4),"R1 concentrated force; ","")&amp;IF(AND(OR(C17="Governed Operations Zone",C17="Autonomous Operations Zone"),E17&gt;=3,MIN(L17:N17)&lt;=1),"R2 mandatory control "&amp;INDEX($L$4:$N$4,1,MATCH(MIN(L17:N17),L17:N17,0))&amp;"="&amp;MIN(L17:N17)&amp;"; ","")&amp;IF(AND(OR(C17="Governed Operations Zone",C17="Autonomous Operations Zone"),S17&lt;4),"R3 evidence tier "&amp;S17&amp;"&lt;4; ","")))</f>
        <v/>
      </c>
      <c r="AH17" s="14" t="str">
        <f aca="false">IF($A17="","",IF(MIN(IF(X17="Critical Orbit",1,IF(X17="Unstable Orbit",2,IF(X17="Edge Orbit",3,IF(X17="Controlled Orbit",4,5)))),IF(AF17="None",9,IF(AF17="Critical Orbit",1,IF(AF17="Unstable Orbit",2,IF(AF17="Edge Orbit",3,IF(AF17="Controlled Orbit",4,5))))))=1,"Critical Orbit",IF(MIN(IF(X17="Critical Orbit",1,IF(X17="Unstable Orbit",2,IF(X17="Edge Orbit",3,IF(X17="Controlled Orbit",4,5)))),IF(AF17="None",9,IF(AF17="Critical Orbit",1,IF(AF17="Unstable Orbit",2,IF(AF17="Edge Orbit",3,IF(AF17="Controlled Orbit",4,5))))))=2,"Unstable Orbit",IF(MIN(IF(X17="Critical Orbit",1,IF(X17="Unstable Orbit",2,IF(X17="Edge Orbit",3,IF(X17="Controlled Orbit",4,5)))),IF(AF17="None",9,IF(AF17="Critical Orbit",1,IF(AF17="Unstable Orbit",2,IF(AF17="Edge Orbit",3,IF(AF17="Controlled Orbit",4,5))))))=3,"Edge Orbit",IF(MIN(IF(X17="Critical Orbit",1,IF(X17="Unstable Orbit",2,IF(X17="Edge Orbit",3,IF(X17="Controlled Orbit",4,5)))),IF(AF17="None",9,IF(AF17="Critical Orbit",1,IF(AF17="Unstable Orbit",2,IF(AF17="Edge Orbit",3,IF(AF17="Controlled Orbit",4,5))))))=4,"Controlled Orbit","Stable Orbit")))))</f>
        <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12" t="str">
        <f aca="false">IF($A18="","",IF(AND(MAX(L18:R18)&gt;3,S18&lt;3),"Warning: EGI &gt;3 needs Tier 3+ evidence",IF(AND(C18="Autonomous Operations Zone",S18&lt;4),"Warning: Autonomous zone needs Tier 4 evidence","OK")))</f>
        <v/>
      </c>
      <c r="U18" s="10" t="str">
        <f aca="false">IF($A18="","",IF($D18="Basic",SUM(E18:K18)/35*100,SUMPRODUCT(E18:K18,INDEX('Weighted Scoring'!$B$5:$H$13,MATCH($B18,'Weighted Scoring'!$A$5:$A$13,0),0))/SUMPRODUCT(5,INDEX('Weighted Scoring'!$B$5:$H$13,MATCH($B18,'Weighted Scoring'!$A$5:$A$13,0),0))*100))</f>
        <v/>
      </c>
      <c r="V18" s="10" t="str">
        <f aca="false">IF($A18="","",IF($D18="Basic",SUM(L18:R18)/35*100,SUMPRODUCT(L18:R18,INDEX('Weighted Scoring'!$I$5:$O$13,MATCH($B18,'Weighted Scoring'!$A$5:$A$13,0),0))/SUMPRODUCT(5,INDEX('Weighted Scoring'!$I$5:$O$13,MATCH($B18,'Weighted Scoring'!$A$5:$A$13,0),0))*100))</f>
        <v/>
      </c>
      <c r="W18" s="10" t="str">
        <f aca="false">IF($A18="","",V18-U18)</f>
        <v/>
      </c>
      <c r="X18" s="12" t="str">
        <f aca="false">IF($A18="","",IF(W18&gt;=40,"Stable Orbit",IF(W18&gt;=15,"Controlled Orbit",IF(W18&gt;=-14,"Edge Orbit",IF(W18&gt;=-39,"Unstable Orbit","Critical Orbit")))))</f>
        <v/>
      </c>
      <c r="Y18" s="12" t="str">
        <f aca="false">IF($A18="","",INDEX('Deployment Gates'!$C$5:$C$9,MATCH(AH18,'Deployment Gates'!$A$5:$A$9,0)))</f>
        <v/>
      </c>
      <c r="Z18" s="3"/>
      <c r="AA18" s="12" t="str">
        <f aca="false">IF($A18="","",IF(OR(AH18="Edge Orbit",AH18="Unstable Orbit",AH18="Critical Orbit",H18&gt;=4,G18&gt;=4,E18&gt;=4,J18&gt;=4),"Yes","No"))</f>
        <v/>
      </c>
      <c r="AB18" s="12" t="str">
        <f aca="false">IF($A18="","",IF(W18&lt;0,"Yes","No"))</f>
        <v/>
      </c>
      <c r="AC18" s="12" t="str">
        <f aca="false">IF($A18="","",INDEX($L$4:$R$4,1,MATCH(MIN(L18:R18),L18:R18,0))&amp;IF(COUNTIF(L18:R18,MIN(L18:R18))&gt;1," (+"&amp;(COUNTIF(L18:R18,MIN(L18:R18))-1)&amp;" tied)",""))</f>
        <v/>
      </c>
      <c r="AD18" s="12" t="str">
        <f aca="false">IF($A18="","",INDEX($E$4:$K$4,1,MATCH(MAX(E18:K18),E18:K18,0))&amp;IF(COUNTIF(E18:K18,MAX(E18:K18))&gt;1," (+"&amp;(COUNTIF(E18:K18,MAX(E18:K18))-1)&amp;" tied)",""))</f>
        <v/>
      </c>
      <c r="AE18" s="12" t="str">
        <f aca="false">IF($A18="","",INDEX('Control Uplift Planner'!$B$5:$B$11,MATCH(INDEX($L$4:$R$4,1,MATCH(MIN(L18:R18),L18:R18,0)),'Control Uplift Planner'!$A$5:$A$11,0)))</f>
        <v/>
      </c>
      <c r="AF18" s="13" t="str">
        <f aca="false">IF($A18="","",IF(MIN(IF(AND(E18&gt;=4,H18&gt;=4),3,9),IF(AND(OR(C18="Governed Operations Zone",C18="Autonomous Operations Zone"),E18&gt;=3),IF(MIN(L18:N18)=0,2,IF(MIN(L18:N18)=1,3,9)),9),IF(AND(OR(C18="Governed Operations Zone",C18="Autonomous Operations Zone"),S18&lt;4),3,9))=9,"None",IF(MIN(IF(AND(E18&gt;=4,H18&gt;=4),3,9),IF(AND(OR(C18="Governed Operations Zone",C18="Autonomous Operations Zone"),E18&gt;=3),IF(MIN(L18:N18)=0,2,IF(MIN(L18:N18)=1,3,9)),9),IF(AND(OR(C18="Governed Operations Zone",C18="Autonomous Operations Zone"),S18&lt;4),3,9))=1,"Critical Orbit",IF(MIN(IF(AND(E18&gt;=4,H18&gt;=4),3,9),IF(AND(OR(C18="Governed Operations Zone",C18="Autonomous Operations Zone"),E18&gt;=3),IF(MIN(L18:N18)=0,2,IF(MIN(L18:N18)=1,3,9)),9),IF(AND(OR(C18="Governed Operations Zone",C18="Autonomous Operations Zone"),S18&lt;4),3,9))=2,"Unstable Orbit","Edge Orbit"))))</f>
        <v/>
      </c>
      <c r="AG18" s="14" t="str">
        <f aca="false">IF($A18="","",IF(IF(AND(E18&gt;=4,H18&gt;=4),"R1 concentrated force; ","")&amp;IF(AND(OR(C18="Governed Operations Zone",C18="Autonomous Operations Zone"),E18&gt;=3,MIN(L18:N18)&lt;=1),"R2 mandatory control "&amp;INDEX($L$4:$N$4,1,MATCH(MIN(L18:N18),L18:N18,0))&amp;"="&amp;MIN(L18:N18)&amp;"; ","")&amp;IF(AND(OR(C18="Governed Operations Zone",C18="Autonomous Operations Zone"),S18&lt;4),"R3 evidence tier "&amp;S18&amp;"&lt;4; ","")="","-",IF(AND(E18&gt;=4,H18&gt;=4),"R1 concentrated force; ","")&amp;IF(AND(OR(C18="Governed Operations Zone",C18="Autonomous Operations Zone"),E18&gt;=3,MIN(L18:N18)&lt;=1),"R2 mandatory control "&amp;INDEX($L$4:$N$4,1,MATCH(MIN(L18:N18),L18:N18,0))&amp;"="&amp;MIN(L18:N18)&amp;"; ","")&amp;IF(AND(OR(C18="Governed Operations Zone",C18="Autonomous Operations Zone"),S18&lt;4),"R3 evidence tier "&amp;S18&amp;"&lt;4; ","")))</f>
        <v/>
      </c>
      <c r="AH18" s="14" t="str">
        <f aca="false">IF($A18="","",IF(MIN(IF(X18="Critical Orbit",1,IF(X18="Unstable Orbit",2,IF(X18="Edge Orbit",3,IF(X18="Controlled Orbit",4,5)))),IF(AF18="None",9,IF(AF18="Critical Orbit",1,IF(AF18="Unstable Orbit",2,IF(AF18="Edge Orbit",3,IF(AF18="Controlled Orbit",4,5))))))=1,"Critical Orbit",IF(MIN(IF(X18="Critical Orbit",1,IF(X18="Unstable Orbit",2,IF(X18="Edge Orbit",3,IF(X18="Controlled Orbit",4,5)))),IF(AF18="None",9,IF(AF18="Critical Orbit",1,IF(AF18="Unstable Orbit",2,IF(AF18="Edge Orbit",3,IF(AF18="Controlled Orbit",4,5))))))=2,"Unstable Orbit",IF(MIN(IF(X18="Critical Orbit",1,IF(X18="Unstable Orbit",2,IF(X18="Edge Orbit",3,IF(X18="Controlled Orbit",4,5)))),IF(AF18="None",9,IF(AF18="Critical Orbit",1,IF(AF18="Unstable Orbit",2,IF(AF18="Edge Orbit",3,IF(AF18="Controlled Orbit",4,5))))))=3,"Edge Orbit",IF(MIN(IF(X18="Critical Orbit",1,IF(X18="Unstable Orbit",2,IF(X18="Edge Orbit",3,IF(X18="Controlled Orbit",4,5)))),IF(AF18="None",9,IF(AF18="Critical Orbit",1,IF(AF18="Unstable Orbit",2,IF(AF18="Edge Orbit",3,IF(AF18="Controlled Orbit",4,5))))))=4,"Controlled Orbit","Stable Orbit")))))</f>
        <v/>
      </c>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12" t="str">
        <f aca="false">IF($A19="","",IF(AND(MAX(L19:R19)&gt;3,S19&lt;3),"Warning: EGI &gt;3 needs Tier 3+ evidence",IF(AND(C19="Autonomous Operations Zone",S19&lt;4),"Warning: Autonomous zone needs Tier 4 evidence","OK")))</f>
        <v/>
      </c>
      <c r="U19" s="10" t="str">
        <f aca="false">IF($A19="","",IF($D19="Basic",SUM(E19:K19)/35*100,SUMPRODUCT(E19:K19,INDEX('Weighted Scoring'!$B$5:$H$13,MATCH($B19,'Weighted Scoring'!$A$5:$A$13,0),0))/SUMPRODUCT(5,INDEX('Weighted Scoring'!$B$5:$H$13,MATCH($B19,'Weighted Scoring'!$A$5:$A$13,0),0))*100))</f>
        <v/>
      </c>
      <c r="V19" s="10" t="str">
        <f aca="false">IF($A19="","",IF($D19="Basic",SUM(L19:R19)/35*100,SUMPRODUCT(L19:R19,INDEX('Weighted Scoring'!$I$5:$O$13,MATCH($B19,'Weighted Scoring'!$A$5:$A$13,0),0))/SUMPRODUCT(5,INDEX('Weighted Scoring'!$I$5:$O$13,MATCH($B19,'Weighted Scoring'!$A$5:$A$13,0),0))*100))</f>
        <v/>
      </c>
      <c r="W19" s="10" t="str">
        <f aca="false">IF($A19="","",V19-U19)</f>
        <v/>
      </c>
      <c r="X19" s="12" t="str">
        <f aca="false">IF($A19="","",IF(W19&gt;=40,"Stable Orbit",IF(W19&gt;=15,"Controlled Orbit",IF(W19&gt;=-14,"Edge Orbit",IF(W19&gt;=-39,"Unstable Orbit","Critical Orbit")))))</f>
        <v/>
      </c>
      <c r="Y19" s="12" t="str">
        <f aca="false">IF($A19="","",INDEX('Deployment Gates'!$C$5:$C$9,MATCH(AH19,'Deployment Gates'!$A$5:$A$9,0)))</f>
        <v/>
      </c>
      <c r="Z19" s="3"/>
      <c r="AA19" s="12" t="str">
        <f aca="false">IF($A19="","",IF(OR(AH19="Edge Orbit",AH19="Unstable Orbit",AH19="Critical Orbit",H19&gt;=4,G19&gt;=4,E19&gt;=4,J19&gt;=4),"Yes","No"))</f>
        <v/>
      </c>
      <c r="AB19" s="12" t="str">
        <f aca="false">IF($A19="","",IF(W19&lt;0,"Yes","No"))</f>
        <v/>
      </c>
      <c r="AC19" s="12" t="str">
        <f aca="false">IF($A19="","",INDEX($L$4:$R$4,1,MATCH(MIN(L19:R19),L19:R19,0))&amp;IF(COUNTIF(L19:R19,MIN(L19:R19))&gt;1," (+"&amp;(COUNTIF(L19:R19,MIN(L19:R19))-1)&amp;" tied)",""))</f>
        <v/>
      </c>
      <c r="AD19" s="12" t="str">
        <f aca="false">IF($A19="","",INDEX($E$4:$K$4,1,MATCH(MAX(E19:K19),E19:K19,0))&amp;IF(COUNTIF(E19:K19,MAX(E19:K19))&gt;1," (+"&amp;(COUNTIF(E19:K19,MAX(E19:K19))-1)&amp;" tied)",""))</f>
        <v/>
      </c>
      <c r="AE19" s="12" t="str">
        <f aca="false">IF($A19="","",INDEX('Control Uplift Planner'!$B$5:$B$11,MATCH(INDEX($L$4:$R$4,1,MATCH(MIN(L19:R19),L19:R19,0)),'Control Uplift Planner'!$A$5:$A$11,0)))</f>
        <v/>
      </c>
      <c r="AF19" s="13" t="str">
        <f aca="false">IF($A19="","",IF(MIN(IF(AND(E19&gt;=4,H19&gt;=4),3,9),IF(AND(OR(C19="Governed Operations Zone",C19="Autonomous Operations Zone"),E19&gt;=3),IF(MIN(L19:N19)=0,2,IF(MIN(L19:N19)=1,3,9)),9),IF(AND(OR(C19="Governed Operations Zone",C19="Autonomous Operations Zone"),S19&lt;4),3,9))=9,"None",IF(MIN(IF(AND(E19&gt;=4,H19&gt;=4),3,9),IF(AND(OR(C19="Governed Operations Zone",C19="Autonomous Operations Zone"),E19&gt;=3),IF(MIN(L19:N19)=0,2,IF(MIN(L19:N19)=1,3,9)),9),IF(AND(OR(C19="Governed Operations Zone",C19="Autonomous Operations Zone"),S19&lt;4),3,9))=1,"Critical Orbit",IF(MIN(IF(AND(E19&gt;=4,H19&gt;=4),3,9),IF(AND(OR(C19="Governed Operations Zone",C19="Autonomous Operations Zone"),E19&gt;=3),IF(MIN(L19:N19)=0,2,IF(MIN(L19:N19)=1,3,9)),9),IF(AND(OR(C19="Governed Operations Zone",C19="Autonomous Operations Zone"),S19&lt;4),3,9))=2,"Unstable Orbit","Edge Orbit"))))</f>
        <v/>
      </c>
      <c r="AG19" s="14" t="str">
        <f aca="false">IF($A19="","",IF(IF(AND(E19&gt;=4,H19&gt;=4),"R1 concentrated force; ","")&amp;IF(AND(OR(C19="Governed Operations Zone",C19="Autonomous Operations Zone"),E19&gt;=3,MIN(L19:N19)&lt;=1),"R2 mandatory control "&amp;INDEX($L$4:$N$4,1,MATCH(MIN(L19:N19),L19:N19,0))&amp;"="&amp;MIN(L19:N19)&amp;"; ","")&amp;IF(AND(OR(C19="Governed Operations Zone",C19="Autonomous Operations Zone"),S19&lt;4),"R3 evidence tier "&amp;S19&amp;"&lt;4; ","")="","-",IF(AND(E19&gt;=4,H19&gt;=4),"R1 concentrated force; ","")&amp;IF(AND(OR(C19="Governed Operations Zone",C19="Autonomous Operations Zone"),E19&gt;=3,MIN(L19:N19)&lt;=1),"R2 mandatory control "&amp;INDEX($L$4:$N$4,1,MATCH(MIN(L19:N19),L19:N19,0))&amp;"="&amp;MIN(L19:N19)&amp;"; ","")&amp;IF(AND(OR(C19="Governed Operations Zone",C19="Autonomous Operations Zone"),S19&lt;4),"R3 evidence tier "&amp;S19&amp;"&lt;4; ","")))</f>
        <v/>
      </c>
      <c r="AH19" s="14" t="str">
        <f aca="false">IF($A19="","",IF(MIN(IF(X19="Critical Orbit",1,IF(X19="Unstable Orbit",2,IF(X19="Edge Orbit",3,IF(X19="Controlled Orbit",4,5)))),IF(AF19="None",9,IF(AF19="Critical Orbit",1,IF(AF19="Unstable Orbit",2,IF(AF19="Edge Orbit",3,IF(AF19="Controlled Orbit",4,5))))))=1,"Critical Orbit",IF(MIN(IF(X19="Critical Orbit",1,IF(X19="Unstable Orbit",2,IF(X19="Edge Orbit",3,IF(X19="Controlled Orbit",4,5)))),IF(AF19="None",9,IF(AF19="Critical Orbit",1,IF(AF19="Unstable Orbit",2,IF(AF19="Edge Orbit",3,IF(AF19="Controlled Orbit",4,5))))))=2,"Unstable Orbit",IF(MIN(IF(X19="Critical Orbit",1,IF(X19="Unstable Orbit",2,IF(X19="Edge Orbit",3,IF(X19="Controlled Orbit",4,5)))),IF(AF19="None",9,IF(AF19="Critical Orbit",1,IF(AF19="Unstable Orbit",2,IF(AF19="Edge Orbit",3,IF(AF19="Controlled Orbit",4,5))))))=3,"Edge Orbit",IF(MIN(IF(X19="Critical Orbit",1,IF(X19="Unstable Orbit",2,IF(X19="Edge Orbit",3,IF(X19="Controlled Orbit",4,5)))),IF(AF19="None",9,IF(AF19="Critical Orbit",1,IF(AF19="Unstable Orbit",2,IF(AF19="Edge Orbit",3,IF(AF19="Controlled Orbit",4,5))))))=4,"Controlled Orbit","Stable Orbit")))))</f>
        <v/>
      </c>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12" t="str">
        <f aca="false">IF($A20="","",IF(AND(MAX(L20:R20)&gt;3,S20&lt;3),"Warning: EGI &gt;3 needs Tier 3+ evidence",IF(AND(C20="Autonomous Operations Zone",S20&lt;4),"Warning: Autonomous zone needs Tier 4 evidence","OK")))</f>
        <v/>
      </c>
      <c r="U20" s="10" t="str">
        <f aca="false">IF($A20="","",IF($D20="Basic",SUM(E20:K20)/35*100,SUMPRODUCT(E20:K20,INDEX('Weighted Scoring'!$B$5:$H$13,MATCH($B20,'Weighted Scoring'!$A$5:$A$13,0),0))/SUMPRODUCT(5,INDEX('Weighted Scoring'!$B$5:$H$13,MATCH($B20,'Weighted Scoring'!$A$5:$A$13,0),0))*100))</f>
        <v/>
      </c>
      <c r="V20" s="10" t="str">
        <f aca="false">IF($A20="","",IF($D20="Basic",SUM(L20:R20)/35*100,SUMPRODUCT(L20:R20,INDEX('Weighted Scoring'!$I$5:$O$13,MATCH($B20,'Weighted Scoring'!$A$5:$A$13,0),0))/SUMPRODUCT(5,INDEX('Weighted Scoring'!$I$5:$O$13,MATCH($B20,'Weighted Scoring'!$A$5:$A$13,0),0))*100))</f>
        <v/>
      </c>
      <c r="W20" s="10" t="str">
        <f aca="false">IF($A20="","",V20-U20)</f>
        <v/>
      </c>
      <c r="X20" s="12" t="str">
        <f aca="false">IF($A20="","",IF(W20&gt;=40,"Stable Orbit",IF(W20&gt;=15,"Controlled Orbit",IF(W20&gt;=-14,"Edge Orbit",IF(W20&gt;=-39,"Unstable Orbit","Critical Orbit")))))</f>
        <v/>
      </c>
      <c r="Y20" s="12" t="str">
        <f aca="false">IF($A20="","",INDEX('Deployment Gates'!$C$5:$C$9,MATCH(AH20,'Deployment Gates'!$A$5:$A$9,0)))</f>
        <v/>
      </c>
      <c r="Z20" s="3"/>
      <c r="AA20" s="12" t="str">
        <f aca="false">IF($A20="","",IF(OR(AH20="Edge Orbit",AH20="Unstable Orbit",AH20="Critical Orbit",H20&gt;=4,G20&gt;=4,E20&gt;=4,J20&gt;=4),"Yes","No"))</f>
        <v/>
      </c>
      <c r="AB20" s="12" t="str">
        <f aca="false">IF($A20="","",IF(W20&lt;0,"Yes","No"))</f>
        <v/>
      </c>
      <c r="AC20" s="12" t="str">
        <f aca="false">IF($A20="","",INDEX($L$4:$R$4,1,MATCH(MIN(L20:R20),L20:R20,0))&amp;IF(COUNTIF(L20:R20,MIN(L20:R20))&gt;1," (+"&amp;(COUNTIF(L20:R20,MIN(L20:R20))-1)&amp;" tied)",""))</f>
        <v/>
      </c>
      <c r="AD20" s="12" t="str">
        <f aca="false">IF($A20="","",INDEX($E$4:$K$4,1,MATCH(MAX(E20:K20),E20:K20,0))&amp;IF(COUNTIF(E20:K20,MAX(E20:K20))&gt;1," (+"&amp;(COUNTIF(E20:K20,MAX(E20:K20))-1)&amp;" tied)",""))</f>
        <v/>
      </c>
      <c r="AE20" s="12" t="str">
        <f aca="false">IF($A20="","",INDEX('Control Uplift Planner'!$B$5:$B$11,MATCH(INDEX($L$4:$R$4,1,MATCH(MIN(L20:R20),L20:R20,0)),'Control Uplift Planner'!$A$5:$A$11,0)))</f>
        <v/>
      </c>
      <c r="AF20" s="13" t="str">
        <f aca="false">IF($A20="","",IF(MIN(IF(AND(E20&gt;=4,H20&gt;=4),3,9),IF(AND(OR(C20="Governed Operations Zone",C20="Autonomous Operations Zone"),E20&gt;=3),IF(MIN(L20:N20)=0,2,IF(MIN(L20:N20)=1,3,9)),9),IF(AND(OR(C20="Governed Operations Zone",C20="Autonomous Operations Zone"),S20&lt;4),3,9))=9,"None",IF(MIN(IF(AND(E20&gt;=4,H20&gt;=4),3,9),IF(AND(OR(C20="Governed Operations Zone",C20="Autonomous Operations Zone"),E20&gt;=3),IF(MIN(L20:N20)=0,2,IF(MIN(L20:N20)=1,3,9)),9),IF(AND(OR(C20="Governed Operations Zone",C20="Autonomous Operations Zone"),S20&lt;4),3,9))=1,"Critical Orbit",IF(MIN(IF(AND(E20&gt;=4,H20&gt;=4),3,9),IF(AND(OR(C20="Governed Operations Zone",C20="Autonomous Operations Zone"),E20&gt;=3),IF(MIN(L20:N20)=0,2,IF(MIN(L20:N20)=1,3,9)),9),IF(AND(OR(C20="Governed Operations Zone",C20="Autonomous Operations Zone"),S20&lt;4),3,9))=2,"Unstable Orbit","Edge Orbit"))))</f>
        <v/>
      </c>
      <c r="AG20" s="14" t="str">
        <f aca="false">IF($A20="","",IF(IF(AND(E20&gt;=4,H20&gt;=4),"R1 concentrated force; ","")&amp;IF(AND(OR(C20="Governed Operations Zone",C20="Autonomous Operations Zone"),E20&gt;=3,MIN(L20:N20)&lt;=1),"R2 mandatory control "&amp;INDEX($L$4:$N$4,1,MATCH(MIN(L20:N20),L20:N20,0))&amp;"="&amp;MIN(L20:N20)&amp;"; ","")&amp;IF(AND(OR(C20="Governed Operations Zone",C20="Autonomous Operations Zone"),S20&lt;4),"R3 evidence tier "&amp;S20&amp;"&lt;4; ","")="","-",IF(AND(E20&gt;=4,H20&gt;=4),"R1 concentrated force; ","")&amp;IF(AND(OR(C20="Governed Operations Zone",C20="Autonomous Operations Zone"),E20&gt;=3,MIN(L20:N20)&lt;=1),"R2 mandatory control "&amp;INDEX($L$4:$N$4,1,MATCH(MIN(L20:N20),L20:N20,0))&amp;"="&amp;MIN(L20:N20)&amp;"; ","")&amp;IF(AND(OR(C20="Governed Operations Zone",C20="Autonomous Operations Zone"),S20&lt;4),"R3 evidence tier "&amp;S20&amp;"&lt;4; ","")))</f>
        <v/>
      </c>
      <c r="AH20" s="14" t="str">
        <f aca="false">IF($A20="","",IF(MIN(IF(X20="Critical Orbit",1,IF(X20="Unstable Orbit",2,IF(X20="Edge Orbit",3,IF(X20="Controlled Orbit",4,5)))),IF(AF20="None",9,IF(AF20="Critical Orbit",1,IF(AF20="Unstable Orbit",2,IF(AF20="Edge Orbit",3,IF(AF20="Controlled Orbit",4,5))))))=1,"Critical Orbit",IF(MIN(IF(X20="Critical Orbit",1,IF(X20="Unstable Orbit",2,IF(X20="Edge Orbit",3,IF(X20="Controlled Orbit",4,5)))),IF(AF20="None",9,IF(AF20="Critical Orbit",1,IF(AF20="Unstable Orbit",2,IF(AF20="Edge Orbit",3,IF(AF20="Controlled Orbit",4,5))))))=2,"Unstable Orbit",IF(MIN(IF(X20="Critical Orbit",1,IF(X20="Unstable Orbit",2,IF(X20="Edge Orbit",3,IF(X20="Controlled Orbit",4,5)))),IF(AF20="None",9,IF(AF20="Critical Orbit",1,IF(AF20="Unstable Orbit",2,IF(AF20="Edge Orbit",3,IF(AF20="Controlled Orbit",4,5))))))=3,"Edge Orbit",IF(MIN(IF(X20="Critical Orbit",1,IF(X20="Unstable Orbit",2,IF(X20="Edge Orbit",3,IF(X20="Controlled Orbit",4,5)))),IF(AF20="None",9,IF(AF20="Critical Orbit",1,IF(AF20="Unstable Orbit",2,IF(AF20="Edge Orbit",3,IF(AF20="Controlled Orbit",4,5))))))=4,"Controlled Orbit","Stable Orbit")))))</f>
        <v/>
      </c>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12" t="str">
        <f aca="false">IF($A21="","",IF(AND(MAX(L21:R21)&gt;3,S21&lt;3),"Warning: EGI &gt;3 needs Tier 3+ evidence",IF(AND(C21="Autonomous Operations Zone",S21&lt;4),"Warning: Autonomous zone needs Tier 4 evidence","OK")))</f>
        <v/>
      </c>
      <c r="U21" s="10" t="str">
        <f aca="false">IF($A21="","",IF($D21="Basic",SUM(E21:K21)/35*100,SUMPRODUCT(E21:K21,INDEX('Weighted Scoring'!$B$5:$H$13,MATCH($B21,'Weighted Scoring'!$A$5:$A$13,0),0))/SUMPRODUCT(5,INDEX('Weighted Scoring'!$B$5:$H$13,MATCH($B21,'Weighted Scoring'!$A$5:$A$13,0),0))*100))</f>
        <v/>
      </c>
      <c r="V21" s="10" t="str">
        <f aca="false">IF($A21="","",IF($D21="Basic",SUM(L21:R21)/35*100,SUMPRODUCT(L21:R21,INDEX('Weighted Scoring'!$I$5:$O$13,MATCH($B21,'Weighted Scoring'!$A$5:$A$13,0),0))/SUMPRODUCT(5,INDEX('Weighted Scoring'!$I$5:$O$13,MATCH($B21,'Weighted Scoring'!$A$5:$A$13,0),0))*100))</f>
        <v/>
      </c>
      <c r="W21" s="10" t="str">
        <f aca="false">IF($A21="","",V21-U21)</f>
        <v/>
      </c>
      <c r="X21" s="12" t="str">
        <f aca="false">IF($A21="","",IF(W21&gt;=40,"Stable Orbit",IF(W21&gt;=15,"Controlled Orbit",IF(W21&gt;=-14,"Edge Orbit",IF(W21&gt;=-39,"Unstable Orbit","Critical Orbit")))))</f>
        <v/>
      </c>
      <c r="Y21" s="12" t="str">
        <f aca="false">IF($A21="","",INDEX('Deployment Gates'!$C$5:$C$9,MATCH(AH21,'Deployment Gates'!$A$5:$A$9,0)))</f>
        <v/>
      </c>
      <c r="Z21" s="3"/>
      <c r="AA21" s="12" t="str">
        <f aca="false">IF($A21="","",IF(OR(AH21="Edge Orbit",AH21="Unstable Orbit",AH21="Critical Orbit",H21&gt;=4,G21&gt;=4,E21&gt;=4,J21&gt;=4),"Yes","No"))</f>
        <v/>
      </c>
      <c r="AB21" s="12" t="str">
        <f aca="false">IF($A21="","",IF(W21&lt;0,"Yes","No"))</f>
        <v/>
      </c>
      <c r="AC21" s="12" t="str">
        <f aca="false">IF($A21="","",INDEX($L$4:$R$4,1,MATCH(MIN(L21:R21),L21:R21,0))&amp;IF(COUNTIF(L21:R21,MIN(L21:R21))&gt;1," (+"&amp;(COUNTIF(L21:R21,MIN(L21:R21))-1)&amp;" tied)",""))</f>
        <v/>
      </c>
      <c r="AD21" s="12" t="str">
        <f aca="false">IF($A21="","",INDEX($E$4:$K$4,1,MATCH(MAX(E21:K21),E21:K21,0))&amp;IF(COUNTIF(E21:K21,MAX(E21:K21))&gt;1," (+"&amp;(COUNTIF(E21:K21,MAX(E21:K21))-1)&amp;" tied)",""))</f>
        <v/>
      </c>
      <c r="AE21" s="12" t="str">
        <f aca="false">IF($A21="","",INDEX('Control Uplift Planner'!$B$5:$B$11,MATCH(INDEX($L$4:$R$4,1,MATCH(MIN(L21:R21),L21:R21,0)),'Control Uplift Planner'!$A$5:$A$11,0)))</f>
        <v/>
      </c>
      <c r="AF21" s="13" t="str">
        <f aca="false">IF($A21="","",IF(MIN(IF(AND(E21&gt;=4,H21&gt;=4),3,9),IF(AND(OR(C21="Governed Operations Zone",C21="Autonomous Operations Zone"),E21&gt;=3),IF(MIN(L21:N21)=0,2,IF(MIN(L21:N21)=1,3,9)),9),IF(AND(OR(C21="Governed Operations Zone",C21="Autonomous Operations Zone"),S21&lt;4),3,9))=9,"None",IF(MIN(IF(AND(E21&gt;=4,H21&gt;=4),3,9),IF(AND(OR(C21="Governed Operations Zone",C21="Autonomous Operations Zone"),E21&gt;=3),IF(MIN(L21:N21)=0,2,IF(MIN(L21:N21)=1,3,9)),9),IF(AND(OR(C21="Governed Operations Zone",C21="Autonomous Operations Zone"),S21&lt;4),3,9))=1,"Critical Orbit",IF(MIN(IF(AND(E21&gt;=4,H21&gt;=4),3,9),IF(AND(OR(C21="Governed Operations Zone",C21="Autonomous Operations Zone"),E21&gt;=3),IF(MIN(L21:N21)=0,2,IF(MIN(L21:N21)=1,3,9)),9),IF(AND(OR(C21="Governed Operations Zone",C21="Autonomous Operations Zone"),S21&lt;4),3,9))=2,"Unstable Orbit","Edge Orbit"))))</f>
        <v/>
      </c>
      <c r="AG21" s="14" t="str">
        <f aca="false">IF($A21="","",IF(IF(AND(E21&gt;=4,H21&gt;=4),"R1 concentrated force; ","")&amp;IF(AND(OR(C21="Governed Operations Zone",C21="Autonomous Operations Zone"),E21&gt;=3,MIN(L21:N21)&lt;=1),"R2 mandatory control "&amp;INDEX($L$4:$N$4,1,MATCH(MIN(L21:N21),L21:N21,0))&amp;"="&amp;MIN(L21:N21)&amp;"; ","")&amp;IF(AND(OR(C21="Governed Operations Zone",C21="Autonomous Operations Zone"),S21&lt;4),"R3 evidence tier "&amp;S21&amp;"&lt;4; ","")="","-",IF(AND(E21&gt;=4,H21&gt;=4),"R1 concentrated force; ","")&amp;IF(AND(OR(C21="Governed Operations Zone",C21="Autonomous Operations Zone"),E21&gt;=3,MIN(L21:N21)&lt;=1),"R2 mandatory control "&amp;INDEX($L$4:$N$4,1,MATCH(MIN(L21:N21),L21:N21,0))&amp;"="&amp;MIN(L21:N21)&amp;"; ","")&amp;IF(AND(OR(C21="Governed Operations Zone",C21="Autonomous Operations Zone"),S21&lt;4),"R3 evidence tier "&amp;S21&amp;"&lt;4; ","")))</f>
        <v/>
      </c>
      <c r="AH21" s="14" t="str">
        <f aca="false">IF($A21="","",IF(MIN(IF(X21="Critical Orbit",1,IF(X21="Unstable Orbit",2,IF(X21="Edge Orbit",3,IF(X21="Controlled Orbit",4,5)))),IF(AF21="None",9,IF(AF21="Critical Orbit",1,IF(AF21="Unstable Orbit",2,IF(AF21="Edge Orbit",3,IF(AF21="Controlled Orbit",4,5))))))=1,"Critical Orbit",IF(MIN(IF(X21="Critical Orbit",1,IF(X21="Unstable Orbit",2,IF(X21="Edge Orbit",3,IF(X21="Controlled Orbit",4,5)))),IF(AF21="None",9,IF(AF21="Critical Orbit",1,IF(AF21="Unstable Orbit",2,IF(AF21="Edge Orbit",3,IF(AF21="Controlled Orbit",4,5))))))=2,"Unstable Orbit",IF(MIN(IF(X21="Critical Orbit",1,IF(X21="Unstable Orbit",2,IF(X21="Edge Orbit",3,IF(X21="Controlled Orbit",4,5)))),IF(AF21="None",9,IF(AF21="Critical Orbit",1,IF(AF21="Unstable Orbit",2,IF(AF21="Edge Orbit",3,IF(AF21="Controlled Orbit",4,5))))))=3,"Edge Orbit",IF(MIN(IF(X21="Critical Orbit",1,IF(X21="Unstable Orbit",2,IF(X21="Edge Orbit",3,IF(X21="Controlled Orbit",4,5)))),IF(AF21="None",9,IF(AF21="Critical Orbit",1,IF(AF21="Unstable Orbit",2,IF(AF21="Edge Orbit",3,IF(AF21="Controlled Orbit",4,5))))))=4,"Controlled Orbit","Stable Orbit")))))</f>
        <v/>
      </c>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12" t="str">
        <f aca="false">IF($A22="","",IF(AND(MAX(L22:R22)&gt;3,S22&lt;3),"Warning: EGI &gt;3 needs Tier 3+ evidence",IF(AND(C22="Autonomous Operations Zone",S22&lt;4),"Warning: Autonomous zone needs Tier 4 evidence","OK")))</f>
        <v/>
      </c>
      <c r="U22" s="10" t="str">
        <f aca="false">IF($A22="","",IF($D22="Basic",SUM(E22:K22)/35*100,SUMPRODUCT(E22:K22,INDEX('Weighted Scoring'!$B$5:$H$13,MATCH($B22,'Weighted Scoring'!$A$5:$A$13,0),0))/SUMPRODUCT(5,INDEX('Weighted Scoring'!$B$5:$H$13,MATCH($B22,'Weighted Scoring'!$A$5:$A$13,0),0))*100))</f>
        <v/>
      </c>
      <c r="V22" s="10" t="str">
        <f aca="false">IF($A22="","",IF($D22="Basic",SUM(L22:R22)/35*100,SUMPRODUCT(L22:R22,INDEX('Weighted Scoring'!$I$5:$O$13,MATCH($B22,'Weighted Scoring'!$A$5:$A$13,0),0))/SUMPRODUCT(5,INDEX('Weighted Scoring'!$I$5:$O$13,MATCH($B22,'Weighted Scoring'!$A$5:$A$13,0),0))*100))</f>
        <v/>
      </c>
      <c r="W22" s="10" t="str">
        <f aca="false">IF($A22="","",V22-U22)</f>
        <v/>
      </c>
      <c r="X22" s="12" t="str">
        <f aca="false">IF($A22="","",IF(W22&gt;=40,"Stable Orbit",IF(W22&gt;=15,"Controlled Orbit",IF(W22&gt;=-14,"Edge Orbit",IF(W22&gt;=-39,"Unstable Orbit","Critical Orbit")))))</f>
        <v/>
      </c>
      <c r="Y22" s="12" t="str">
        <f aca="false">IF($A22="","",INDEX('Deployment Gates'!$C$5:$C$9,MATCH(AH22,'Deployment Gates'!$A$5:$A$9,0)))</f>
        <v/>
      </c>
      <c r="Z22" s="3"/>
      <c r="AA22" s="12" t="str">
        <f aca="false">IF($A22="","",IF(OR(AH22="Edge Orbit",AH22="Unstable Orbit",AH22="Critical Orbit",H22&gt;=4,G22&gt;=4,E22&gt;=4,J22&gt;=4),"Yes","No"))</f>
        <v/>
      </c>
      <c r="AB22" s="12" t="str">
        <f aca="false">IF($A22="","",IF(W22&lt;0,"Yes","No"))</f>
        <v/>
      </c>
      <c r="AC22" s="12" t="str">
        <f aca="false">IF($A22="","",INDEX($L$4:$R$4,1,MATCH(MIN(L22:R22),L22:R22,0))&amp;IF(COUNTIF(L22:R22,MIN(L22:R22))&gt;1," (+"&amp;(COUNTIF(L22:R22,MIN(L22:R22))-1)&amp;" tied)",""))</f>
        <v/>
      </c>
      <c r="AD22" s="12" t="str">
        <f aca="false">IF($A22="","",INDEX($E$4:$K$4,1,MATCH(MAX(E22:K22),E22:K22,0))&amp;IF(COUNTIF(E22:K22,MAX(E22:K22))&gt;1," (+"&amp;(COUNTIF(E22:K22,MAX(E22:K22))-1)&amp;" tied)",""))</f>
        <v/>
      </c>
      <c r="AE22" s="12" t="str">
        <f aca="false">IF($A22="","",INDEX('Control Uplift Planner'!$B$5:$B$11,MATCH(INDEX($L$4:$R$4,1,MATCH(MIN(L22:R22),L22:R22,0)),'Control Uplift Planner'!$A$5:$A$11,0)))</f>
        <v/>
      </c>
      <c r="AF22" s="13" t="str">
        <f aca="false">IF($A22="","",IF(MIN(IF(AND(E22&gt;=4,H22&gt;=4),3,9),IF(AND(OR(C22="Governed Operations Zone",C22="Autonomous Operations Zone"),E22&gt;=3),IF(MIN(L22:N22)=0,2,IF(MIN(L22:N22)=1,3,9)),9),IF(AND(OR(C22="Governed Operations Zone",C22="Autonomous Operations Zone"),S22&lt;4),3,9))=9,"None",IF(MIN(IF(AND(E22&gt;=4,H22&gt;=4),3,9),IF(AND(OR(C22="Governed Operations Zone",C22="Autonomous Operations Zone"),E22&gt;=3),IF(MIN(L22:N22)=0,2,IF(MIN(L22:N22)=1,3,9)),9),IF(AND(OR(C22="Governed Operations Zone",C22="Autonomous Operations Zone"),S22&lt;4),3,9))=1,"Critical Orbit",IF(MIN(IF(AND(E22&gt;=4,H22&gt;=4),3,9),IF(AND(OR(C22="Governed Operations Zone",C22="Autonomous Operations Zone"),E22&gt;=3),IF(MIN(L22:N22)=0,2,IF(MIN(L22:N22)=1,3,9)),9),IF(AND(OR(C22="Governed Operations Zone",C22="Autonomous Operations Zone"),S22&lt;4),3,9))=2,"Unstable Orbit","Edge Orbit"))))</f>
        <v/>
      </c>
      <c r="AG22" s="14" t="str">
        <f aca="false">IF($A22="","",IF(IF(AND(E22&gt;=4,H22&gt;=4),"R1 concentrated force; ","")&amp;IF(AND(OR(C22="Governed Operations Zone",C22="Autonomous Operations Zone"),E22&gt;=3,MIN(L22:N22)&lt;=1),"R2 mandatory control "&amp;INDEX($L$4:$N$4,1,MATCH(MIN(L22:N22),L22:N22,0))&amp;"="&amp;MIN(L22:N22)&amp;"; ","")&amp;IF(AND(OR(C22="Governed Operations Zone",C22="Autonomous Operations Zone"),S22&lt;4),"R3 evidence tier "&amp;S22&amp;"&lt;4; ","")="","-",IF(AND(E22&gt;=4,H22&gt;=4),"R1 concentrated force; ","")&amp;IF(AND(OR(C22="Governed Operations Zone",C22="Autonomous Operations Zone"),E22&gt;=3,MIN(L22:N22)&lt;=1),"R2 mandatory control "&amp;INDEX($L$4:$N$4,1,MATCH(MIN(L22:N22),L22:N22,0))&amp;"="&amp;MIN(L22:N22)&amp;"; ","")&amp;IF(AND(OR(C22="Governed Operations Zone",C22="Autonomous Operations Zone"),S22&lt;4),"R3 evidence tier "&amp;S22&amp;"&lt;4; ","")))</f>
        <v/>
      </c>
      <c r="AH22" s="14" t="str">
        <f aca="false">IF($A22="","",IF(MIN(IF(X22="Critical Orbit",1,IF(X22="Unstable Orbit",2,IF(X22="Edge Orbit",3,IF(X22="Controlled Orbit",4,5)))),IF(AF22="None",9,IF(AF22="Critical Orbit",1,IF(AF22="Unstable Orbit",2,IF(AF22="Edge Orbit",3,IF(AF22="Controlled Orbit",4,5))))))=1,"Critical Orbit",IF(MIN(IF(X22="Critical Orbit",1,IF(X22="Unstable Orbit",2,IF(X22="Edge Orbit",3,IF(X22="Controlled Orbit",4,5)))),IF(AF22="None",9,IF(AF22="Critical Orbit",1,IF(AF22="Unstable Orbit",2,IF(AF22="Edge Orbit",3,IF(AF22="Controlled Orbit",4,5))))))=2,"Unstable Orbit",IF(MIN(IF(X22="Critical Orbit",1,IF(X22="Unstable Orbit",2,IF(X22="Edge Orbit",3,IF(X22="Controlled Orbit",4,5)))),IF(AF22="None",9,IF(AF22="Critical Orbit",1,IF(AF22="Unstable Orbit",2,IF(AF22="Edge Orbit",3,IF(AF22="Controlled Orbit",4,5))))))=3,"Edge Orbit",IF(MIN(IF(X22="Critical Orbit",1,IF(X22="Unstable Orbit",2,IF(X22="Edge Orbit",3,IF(X22="Controlled Orbit",4,5)))),IF(AF22="None",9,IF(AF22="Critical Orbit",1,IF(AF22="Unstable Orbit",2,IF(AF22="Edge Orbit",3,IF(AF22="Controlled Orbit",4,5))))))=4,"Controlled Orbit","Stable Orbit")))))</f>
        <v/>
      </c>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12" t="str">
        <f aca="false">IF($A23="","",IF(AND(MAX(L23:R23)&gt;3,S23&lt;3),"Warning: EGI &gt;3 needs Tier 3+ evidence",IF(AND(C23="Autonomous Operations Zone",S23&lt;4),"Warning: Autonomous zone needs Tier 4 evidence","OK")))</f>
        <v/>
      </c>
      <c r="U23" s="10" t="str">
        <f aca="false">IF($A23="","",IF($D23="Basic",SUM(E23:K23)/35*100,SUMPRODUCT(E23:K23,INDEX('Weighted Scoring'!$B$5:$H$13,MATCH($B23,'Weighted Scoring'!$A$5:$A$13,0),0))/SUMPRODUCT(5,INDEX('Weighted Scoring'!$B$5:$H$13,MATCH($B23,'Weighted Scoring'!$A$5:$A$13,0),0))*100))</f>
        <v/>
      </c>
      <c r="V23" s="10" t="str">
        <f aca="false">IF($A23="","",IF($D23="Basic",SUM(L23:R23)/35*100,SUMPRODUCT(L23:R23,INDEX('Weighted Scoring'!$I$5:$O$13,MATCH($B23,'Weighted Scoring'!$A$5:$A$13,0),0))/SUMPRODUCT(5,INDEX('Weighted Scoring'!$I$5:$O$13,MATCH($B23,'Weighted Scoring'!$A$5:$A$13,0),0))*100))</f>
        <v/>
      </c>
      <c r="W23" s="10" t="str">
        <f aca="false">IF($A23="","",V23-U23)</f>
        <v/>
      </c>
      <c r="X23" s="12" t="str">
        <f aca="false">IF($A23="","",IF(W23&gt;=40,"Stable Orbit",IF(W23&gt;=15,"Controlled Orbit",IF(W23&gt;=-14,"Edge Orbit",IF(W23&gt;=-39,"Unstable Orbit","Critical Orbit")))))</f>
        <v/>
      </c>
      <c r="Y23" s="12" t="str">
        <f aca="false">IF($A23="","",INDEX('Deployment Gates'!$C$5:$C$9,MATCH(AH23,'Deployment Gates'!$A$5:$A$9,0)))</f>
        <v/>
      </c>
      <c r="Z23" s="3"/>
      <c r="AA23" s="12" t="str">
        <f aca="false">IF($A23="","",IF(OR(AH23="Edge Orbit",AH23="Unstable Orbit",AH23="Critical Orbit",H23&gt;=4,G23&gt;=4,E23&gt;=4,J23&gt;=4),"Yes","No"))</f>
        <v/>
      </c>
      <c r="AB23" s="12" t="str">
        <f aca="false">IF($A23="","",IF(W23&lt;0,"Yes","No"))</f>
        <v/>
      </c>
      <c r="AC23" s="12" t="str">
        <f aca="false">IF($A23="","",INDEX($L$4:$R$4,1,MATCH(MIN(L23:R23),L23:R23,0))&amp;IF(COUNTIF(L23:R23,MIN(L23:R23))&gt;1," (+"&amp;(COUNTIF(L23:R23,MIN(L23:R23))-1)&amp;" tied)",""))</f>
        <v/>
      </c>
      <c r="AD23" s="12" t="str">
        <f aca="false">IF($A23="","",INDEX($E$4:$K$4,1,MATCH(MAX(E23:K23),E23:K23,0))&amp;IF(COUNTIF(E23:K23,MAX(E23:K23))&gt;1," (+"&amp;(COUNTIF(E23:K23,MAX(E23:K23))-1)&amp;" tied)",""))</f>
        <v/>
      </c>
      <c r="AE23" s="12" t="str">
        <f aca="false">IF($A23="","",INDEX('Control Uplift Planner'!$B$5:$B$11,MATCH(INDEX($L$4:$R$4,1,MATCH(MIN(L23:R23),L23:R23,0)),'Control Uplift Planner'!$A$5:$A$11,0)))</f>
        <v/>
      </c>
      <c r="AF23" s="13" t="str">
        <f aca="false">IF($A23="","",IF(MIN(IF(AND(E23&gt;=4,H23&gt;=4),3,9),IF(AND(OR(C23="Governed Operations Zone",C23="Autonomous Operations Zone"),E23&gt;=3),IF(MIN(L23:N23)=0,2,IF(MIN(L23:N23)=1,3,9)),9),IF(AND(OR(C23="Governed Operations Zone",C23="Autonomous Operations Zone"),S23&lt;4),3,9))=9,"None",IF(MIN(IF(AND(E23&gt;=4,H23&gt;=4),3,9),IF(AND(OR(C23="Governed Operations Zone",C23="Autonomous Operations Zone"),E23&gt;=3),IF(MIN(L23:N23)=0,2,IF(MIN(L23:N23)=1,3,9)),9),IF(AND(OR(C23="Governed Operations Zone",C23="Autonomous Operations Zone"),S23&lt;4),3,9))=1,"Critical Orbit",IF(MIN(IF(AND(E23&gt;=4,H23&gt;=4),3,9),IF(AND(OR(C23="Governed Operations Zone",C23="Autonomous Operations Zone"),E23&gt;=3),IF(MIN(L23:N23)=0,2,IF(MIN(L23:N23)=1,3,9)),9),IF(AND(OR(C23="Governed Operations Zone",C23="Autonomous Operations Zone"),S23&lt;4),3,9))=2,"Unstable Orbit","Edge Orbit"))))</f>
        <v/>
      </c>
      <c r="AG23" s="14" t="str">
        <f aca="false">IF($A23="","",IF(IF(AND(E23&gt;=4,H23&gt;=4),"R1 concentrated force; ","")&amp;IF(AND(OR(C23="Governed Operations Zone",C23="Autonomous Operations Zone"),E23&gt;=3,MIN(L23:N23)&lt;=1),"R2 mandatory control "&amp;INDEX($L$4:$N$4,1,MATCH(MIN(L23:N23),L23:N23,0))&amp;"="&amp;MIN(L23:N23)&amp;"; ","")&amp;IF(AND(OR(C23="Governed Operations Zone",C23="Autonomous Operations Zone"),S23&lt;4),"R3 evidence tier "&amp;S23&amp;"&lt;4; ","")="","-",IF(AND(E23&gt;=4,H23&gt;=4),"R1 concentrated force; ","")&amp;IF(AND(OR(C23="Governed Operations Zone",C23="Autonomous Operations Zone"),E23&gt;=3,MIN(L23:N23)&lt;=1),"R2 mandatory control "&amp;INDEX($L$4:$N$4,1,MATCH(MIN(L23:N23),L23:N23,0))&amp;"="&amp;MIN(L23:N23)&amp;"; ","")&amp;IF(AND(OR(C23="Governed Operations Zone",C23="Autonomous Operations Zone"),S23&lt;4),"R3 evidence tier "&amp;S23&amp;"&lt;4; ","")))</f>
        <v/>
      </c>
      <c r="AH23" s="14" t="str">
        <f aca="false">IF($A23="","",IF(MIN(IF(X23="Critical Orbit",1,IF(X23="Unstable Orbit",2,IF(X23="Edge Orbit",3,IF(X23="Controlled Orbit",4,5)))),IF(AF23="None",9,IF(AF23="Critical Orbit",1,IF(AF23="Unstable Orbit",2,IF(AF23="Edge Orbit",3,IF(AF23="Controlled Orbit",4,5))))))=1,"Critical Orbit",IF(MIN(IF(X23="Critical Orbit",1,IF(X23="Unstable Orbit",2,IF(X23="Edge Orbit",3,IF(X23="Controlled Orbit",4,5)))),IF(AF23="None",9,IF(AF23="Critical Orbit",1,IF(AF23="Unstable Orbit",2,IF(AF23="Edge Orbit",3,IF(AF23="Controlled Orbit",4,5))))))=2,"Unstable Orbit",IF(MIN(IF(X23="Critical Orbit",1,IF(X23="Unstable Orbit",2,IF(X23="Edge Orbit",3,IF(X23="Controlled Orbit",4,5)))),IF(AF23="None",9,IF(AF23="Critical Orbit",1,IF(AF23="Unstable Orbit",2,IF(AF23="Edge Orbit",3,IF(AF23="Controlled Orbit",4,5))))))=3,"Edge Orbit",IF(MIN(IF(X23="Critical Orbit",1,IF(X23="Unstable Orbit",2,IF(X23="Edge Orbit",3,IF(X23="Controlled Orbit",4,5)))),IF(AF23="None",9,IF(AF23="Critical Orbit",1,IF(AF23="Unstable Orbit",2,IF(AF23="Edge Orbit",3,IF(AF23="Controlled Orbit",4,5))))))=4,"Controlled Orbit","Stable Orbit")))))</f>
        <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12" t="str">
        <f aca="false">IF($A24="","",IF(AND(MAX(L24:R24)&gt;3,S24&lt;3),"Warning: EGI &gt;3 needs Tier 3+ evidence",IF(AND(C24="Autonomous Operations Zone",S24&lt;4),"Warning: Autonomous zone needs Tier 4 evidence","OK")))</f>
        <v/>
      </c>
      <c r="U24" s="10" t="str">
        <f aca="false">IF($A24="","",IF($D24="Basic",SUM(E24:K24)/35*100,SUMPRODUCT(E24:K24,INDEX('Weighted Scoring'!$B$5:$H$13,MATCH($B24,'Weighted Scoring'!$A$5:$A$13,0),0))/SUMPRODUCT(5,INDEX('Weighted Scoring'!$B$5:$H$13,MATCH($B24,'Weighted Scoring'!$A$5:$A$13,0),0))*100))</f>
        <v/>
      </c>
      <c r="V24" s="10" t="str">
        <f aca="false">IF($A24="","",IF($D24="Basic",SUM(L24:R24)/35*100,SUMPRODUCT(L24:R24,INDEX('Weighted Scoring'!$I$5:$O$13,MATCH($B24,'Weighted Scoring'!$A$5:$A$13,0),0))/SUMPRODUCT(5,INDEX('Weighted Scoring'!$I$5:$O$13,MATCH($B24,'Weighted Scoring'!$A$5:$A$13,0),0))*100))</f>
        <v/>
      </c>
      <c r="W24" s="10" t="str">
        <f aca="false">IF($A24="","",V24-U24)</f>
        <v/>
      </c>
      <c r="X24" s="12" t="str">
        <f aca="false">IF($A24="","",IF(W24&gt;=40,"Stable Orbit",IF(W24&gt;=15,"Controlled Orbit",IF(W24&gt;=-14,"Edge Orbit",IF(W24&gt;=-39,"Unstable Orbit","Critical Orbit")))))</f>
        <v/>
      </c>
      <c r="Y24" s="12" t="str">
        <f aca="false">IF($A24="","",INDEX('Deployment Gates'!$C$5:$C$9,MATCH(AH24,'Deployment Gates'!$A$5:$A$9,0)))</f>
        <v/>
      </c>
      <c r="Z24" s="3"/>
      <c r="AA24" s="12" t="str">
        <f aca="false">IF($A24="","",IF(OR(AH24="Edge Orbit",AH24="Unstable Orbit",AH24="Critical Orbit",H24&gt;=4,G24&gt;=4,E24&gt;=4,J24&gt;=4),"Yes","No"))</f>
        <v/>
      </c>
      <c r="AB24" s="12" t="str">
        <f aca="false">IF($A24="","",IF(W24&lt;0,"Yes","No"))</f>
        <v/>
      </c>
      <c r="AC24" s="12" t="str">
        <f aca="false">IF($A24="","",INDEX($L$4:$R$4,1,MATCH(MIN(L24:R24),L24:R24,0))&amp;IF(COUNTIF(L24:R24,MIN(L24:R24))&gt;1," (+"&amp;(COUNTIF(L24:R24,MIN(L24:R24))-1)&amp;" tied)",""))</f>
        <v/>
      </c>
      <c r="AD24" s="12" t="str">
        <f aca="false">IF($A24="","",INDEX($E$4:$K$4,1,MATCH(MAX(E24:K24),E24:K24,0))&amp;IF(COUNTIF(E24:K24,MAX(E24:K24))&gt;1," (+"&amp;(COUNTIF(E24:K24,MAX(E24:K24))-1)&amp;" tied)",""))</f>
        <v/>
      </c>
      <c r="AE24" s="12" t="str">
        <f aca="false">IF($A24="","",INDEX('Control Uplift Planner'!$B$5:$B$11,MATCH(INDEX($L$4:$R$4,1,MATCH(MIN(L24:R24),L24:R24,0)),'Control Uplift Planner'!$A$5:$A$11,0)))</f>
        <v/>
      </c>
      <c r="AF24" s="13" t="str">
        <f aca="false">IF($A24="","",IF(MIN(IF(AND(E24&gt;=4,H24&gt;=4),3,9),IF(AND(OR(C24="Governed Operations Zone",C24="Autonomous Operations Zone"),E24&gt;=3),IF(MIN(L24:N24)=0,2,IF(MIN(L24:N24)=1,3,9)),9),IF(AND(OR(C24="Governed Operations Zone",C24="Autonomous Operations Zone"),S24&lt;4),3,9))=9,"None",IF(MIN(IF(AND(E24&gt;=4,H24&gt;=4),3,9),IF(AND(OR(C24="Governed Operations Zone",C24="Autonomous Operations Zone"),E24&gt;=3),IF(MIN(L24:N24)=0,2,IF(MIN(L24:N24)=1,3,9)),9),IF(AND(OR(C24="Governed Operations Zone",C24="Autonomous Operations Zone"),S24&lt;4),3,9))=1,"Critical Orbit",IF(MIN(IF(AND(E24&gt;=4,H24&gt;=4),3,9),IF(AND(OR(C24="Governed Operations Zone",C24="Autonomous Operations Zone"),E24&gt;=3),IF(MIN(L24:N24)=0,2,IF(MIN(L24:N24)=1,3,9)),9),IF(AND(OR(C24="Governed Operations Zone",C24="Autonomous Operations Zone"),S24&lt;4),3,9))=2,"Unstable Orbit","Edge Orbit"))))</f>
        <v/>
      </c>
      <c r="AG24" s="14" t="str">
        <f aca="false">IF($A24="","",IF(IF(AND(E24&gt;=4,H24&gt;=4),"R1 concentrated force; ","")&amp;IF(AND(OR(C24="Governed Operations Zone",C24="Autonomous Operations Zone"),E24&gt;=3,MIN(L24:N24)&lt;=1),"R2 mandatory control "&amp;INDEX($L$4:$N$4,1,MATCH(MIN(L24:N24),L24:N24,0))&amp;"="&amp;MIN(L24:N24)&amp;"; ","")&amp;IF(AND(OR(C24="Governed Operations Zone",C24="Autonomous Operations Zone"),S24&lt;4),"R3 evidence tier "&amp;S24&amp;"&lt;4; ","")="","-",IF(AND(E24&gt;=4,H24&gt;=4),"R1 concentrated force; ","")&amp;IF(AND(OR(C24="Governed Operations Zone",C24="Autonomous Operations Zone"),E24&gt;=3,MIN(L24:N24)&lt;=1),"R2 mandatory control "&amp;INDEX($L$4:$N$4,1,MATCH(MIN(L24:N24),L24:N24,0))&amp;"="&amp;MIN(L24:N24)&amp;"; ","")&amp;IF(AND(OR(C24="Governed Operations Zone",C24="Autonomous Operations Zone"),S24&lt;4),"R3 evidence tier "&amp;S24&amp;"&lt;4; ","")))</f>
        <v/>
      </c>
      <c r="AH24" s="14" t="str">
        <f aca="false">IF($A24="","",IF(MIN(IF(X24="Critical Orbit",1,IF(X24="Unstable Orbit",2,IF(X24="Edge Orbit",3,IF(X24="Controlled Orbit",4,5)))),IF(AF24="None",9,IF(AF24="Critical Orbit",1,IF(AF24="Unstable Orbit",2,IF(AF24="Edge Orbit",3,IF(AF24="Controlled Orbit",4,5))))))=1,"Critical Orbit",IF(MIN(IF(X24="Critical Orbit",1,IF(X24="Unstable Orbit",2,IF(X24="Edge Orbit",3,IF(X24="Controlled Orbit",4,5)))),IF(AF24="None",9,IF(AF24="Critical Orbit",1,IF(AF24="Unstable Orbit",2,IF(AF24="Edge Orbit",3,IF(AF24="Controlled Orbit",4,5))))))=2,"Unstable Orbit",IF(MIN(IF(X24="Critical Orbit",1,IF(X24="Unstable Orbit",2,IF(X24="Edge Orbit",3,IF(X24="Controlled Orbit",4,5)))),IF(AF24="None",9,IF(AF24="Critical Orbit",1,IF(AF24="Unstable Orbit",2,IF(AF24="Edge Orbit",3,IF(AF24="Controlled Orbit",4,5))))))=3,"Edge Orbit",IF(MIN(IF(X24="Critical Orbit",1,IF(X24="Unstable Orbit",2,IF(X24="Edge Orbit",3,IF(X24="Controlled Orbit",4,5)))),IF(AF24="None",9,IF(AF24="Critical Orbit",1,IF(AF24="Unstable Orbit",2,IF(AF24="Edge Orbit",3,IF(AF24="Controlled Orbit",4,5))))))=4,"Controlled Orbit","Stable Orbit")))))</f>
        <v/>
      </c>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12" t="str">
        <f aca="false">IF($A25="","",IF(AND(MAX(L25:R25)&gt;3,S25&lt;3),"Warning: EGI &gt;3 needs Tier 3+ evidence",IF(AND(C25="Autonomous Operations Zone",S25&lt;4),"Warning: Autonomous zone needs Tier 4 evidence","OK")))</f>
        <v/>
      </c>
      <c r="U25" s="10" t="str">
        <f aca="false">IF($A25="","",IF($D25="Basic",SUM(E25:K25)/35*100,SUMPRODUCT(E25:K25,INDEX('Weighted Scoring'!$B$5:$H$13,MATCH($B25,'Weighted Scoring'!$A$5:$A$13,0),0))/SUMPRODUCT(5,INDEX('Weighted Scoring'!$B$5:$H$13,MATCH($B25,'Weighted Scoring'!$A$5:$A$13,0),0))*100))</f>
        <v/>
      </c>
      <c r="V25" s="10" t="str">
        <f aca="false">IF($A25="","",IF($D25="Basic",SUM(L25:R25)/35*100,SUMPRODUCT(L25:R25,INDEX('Weighted Scoring'!$I$5:$O$13,MATCH($B25,'Weighted Scoring'!$A$5:$A$13,0),0))/SUMPRODUCT(5,INDEX('Weighted Scoring'!$I$5:$O$13,MATCH($B25,'Weighted Scoring'!$A$5:$A$13,0),0))*100))</f>
        <v/>
      </c>
      <c r="W25" s="10" t="str">
        <f aca="false">IF($A25="","",V25-U25)</f>
        <v/>
      </c>
      <c r="X25" s="12" t="str">
        <f aca="false">IF($A25="","",IF(W25&gt;=40,"Stable Orbit",IF(W25&gt;=15,"Controlled Orbit",IF(W25&gt;=-14,"Edge Orbit",IF(W25&gt;=-39,"Unstable Orbit","Critical Orbit")))))</f>
        <v/>
      </c>
      <c r="Y25" s="12" t="str">
        <f aca="false">IF($A25="","",INDEX('Deployment Gates'!$C$5:$C$9,MATCH(AH25,'Deployment Gates'!$A$5:$A$9,0)))</f>
        <v/>
      </c>
      <c r="Z25" s="3"/>
      <c r="AA25" s="12" t="str">
        <f aca="false">IF($A25="","",IF(OR(AH25="Edge Orbit",AH25="Unstable Orbit",AH25="Critical Orbit",H25&gt;=4,G25&gt;=4,E25&gt;=4,J25&gt;=4),"Yes","No"))</f>
        <v/>
      </c>
      <c r="AB25" s="12" t="str">
        <f aca="false">IF($A25="","",IF(W25&lt;0,"Yes","No"))</f>
        <v/>
      </c>
      <c r="AC25" s="12" t="str">
        <f aca="false">IF($A25="","",INDEX($L$4:$R$4,1,MATCH(MIN(L25:R25),L25:R25,0))&amp;IF(COUNTIF(L25:R25,MIN(L25:R25))&gt;1," (+"&amp;(COUNTIF(L25:R25,MIN(L25:R25))-1)&amp;" tied)",""))</f>
        <v/>
      </c>
      <c r="AD25" s="12" t="str">
        <f aca="false">IF($A25="","",INDEX($E$4:$K$4,1,MATCH(MAX(E25:K25),E25:K25,0))&amp;IF(COUNTIF(E25:K25,MAX(E25:K25))&gt;1," (+"&amp;(COUNTIF(E25:K25,MAX(E25:K25))-1)&amp;" tied)",""))</f>
        <v/>
      </c>
      <c r="AE25" s="12" t="str">
        <f aca="false">IF($A25="","",INDEX('Control Uplift Planner'!$B$5:$B$11,MATCH(INDEX($L$4:$R$4,1,MATCH(MIN(L25:R25),L25:R25,0)),'Control Uplift Planner'!$A$5:$A$11,0)))</f>
        <v/>
      </c>
      <c r="AF25" s="13" t="str">
        <f aca="false">IF($A25="","",IF(MIN(IF(AND(E25&gt;=4,H25&gt;=4),3,9),IF(AND(OR(C25="Governed Operations Zone",C25="Autonomous Operations Zone"),E25&gt;=3),IF(MIN(L25:N25)=0,2,IF(MIN(L25:N25)=1,3,9)),9),IF(AND(OR(C25="Governed Operations Zone",C25="Autonomous Operations Zone"),S25&lt;4),3,9))=9,"None",IF(MIN(IF(AND(E25&gt;=4,H25&gt;=4),3,9),IF(AND(OR(C25="Governed Operations Zone",C25="Autonomous Operations Zone"),E25&gt;=3),IF(MIN(L25:N25)=0,2,IF(MIN(L25:N25)=1,3,9)),9),IF(AND(OR(C25="Governed Operations Zone",C25="Autonomous Operations Zone"),S25&lt;4),3,9))=1,"Critical Orbit",IF(MIN(IF(AND(E25&gt;=4,H25&gt;=4),3,9),IF(AND(OR(C25="Governed Operations Zone",C25="Autonomous Operations Zone"),E25&gt;=3),IF(MIN(L25:N25)=0,2,IF(MIN(L25:N25)=1,3,9)),9),IF(AND(OR(C25="Governed Operations Zone",C25="Autonomous Operations Zone"),S25&lt;4),3,9))=2,"Unstable Orbit","Edge Orbit"))))</f>
        <v/>
      </c>
      <c r="AG25" s="14" t="str">
        <f aca="false">IF($A25="","",IF(IF(AND(E25&gt;=4,H25&gt;=4),"R1 concentrated force; ","")&amp;IF(AND(OR(C25="Governed Operations Zone",C25="Autonomous Operations Zone"),E25&gt;=3,MIN(L25:N25)&lt;=1),"R2 mandatory control "&amp;INDEX($L$4:$N$4,1,MATCH(MIN(L25:N25),L25:N25,0))&amp;"="&amp;MIN(L25:N25)&amp;"; ","")&amp;IF(AND(OR(C25="Governed Operations Zone",C25="Autonomous Operations Zone"),S25&lt;4),"R3 evidence tier "&amp;S25&amp;"&lt;4; ","")="","-",IF(AND(E25&gt;=4,H25&gt;=4),"R1 concentrated force; ","")&amp;IF(AND(OR(C25="Governed Operations Zone",C25="Autonomous Operations Zone"),E25&gt;=3,MIN(L25:N25)&lt;=1),"R2 mandatory control "&amp;INDEX($L$4:$N$4,1,MATCH(MIN(L25:N25),L25:N25,0))&amp;"="&amp;MIN(L25:N25)&amp;"; ","")&amp;IF(AND(OR(C25="Governed Operations Zone",C25="Autonomous Operations Zone"),S25&lt;4),"R3 evidence tier "&amp;S25&amp;"&lt;4; ","")))</f>
        <v/>
      </c>
      <c r="AH25" s="14" t="str">
        <f aca="false">IF($A25="","",IF(MIN(IF(X25="Critical Orbit",1,IF(X25="Unstable Orbit",2,IF(X25="Edge Orbit",3,IF(X25="Controlled Orbit",4,5)))),IF(AF25="None",9,IF(AF25="Critical Orbit",1,IF(AF25="Unstable Orbit",2,IF(AF25="Edge Orbit",3,IF(AF25="Controlled Orbit",4,5))))))=1,"Critical Orbit",IF(MIN(IF(X25="Critical Orbit",1,IF(X25="Unstable Orbit",2,IF(X25="Edge Orbit",3,IF(X25="Controlled Orbit",4,5)))),IF(AF25="None",9,IF(AF25="Critical Orbit",1,IF(AF25="Unstable Orbit",2,IF(AF25="Edge Orbit",3,IF(AF25="Controlled Orbit",4,5))))))=2,"Unstable Orbit",IF(MIN(IF(X25="Critical Orbit",1,IF(X25="Unstable Orbit",2,IF(X25="Edge Orbit",3,IF(X25="Controlled Orbit",4,5)))),IF(AF25="None",9,IF(AF25="Critical Orbit",1,IF(AF25="Unstable Orbit",2,IF(AF25="Edge Orbit",3,IF(AF25="Controlled Orbit",4,5))))))=3,"Edge Orbit",IF(MIN(IF(X25="Critical Orbit",1,IF(X25="Unstable Orbit",2,IF(X25="Edge Orbit",3,IF(X25="Controlled Orbit",4,5)))),IF(AF25="None",9,IF(AF25="Critical Orbit",1,IF(AF25="Unstable Orbit",2,IF(AF25="Edge Orbit",3,IF(AF25="Controlled Orbit",4,5))))))=4,"Controlled Orbit","Stable Orbit")))))</f>
        <v/>
      </c>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12" t="str">
        <f aca="false">IF($A26="","",IF(AND(MAX(L26:R26)&gt;3,S26&lt;3),"Warning: EGI &gt;3 needs Tier 3+ evidence",IF(AND(C26="Autonomous Operations Zone",S26&lt;4),"Warning: Autonomous zone needs Tier 4 evidence","OK")))</f>
        <v/>
      </c>
      <c r="U26" s="10" t="str">
        <f aca="false">IF($A26="","",IF($D26="Basic",SUM(E26:K26)/35*100,SUMPRODUCT(E26:K26,INDEX('Weighted Scoring'!$B$5:$H$13,MATCH($B26,'Weighted Scoring'!$A$5:$A$13,0),0))/SUMPRODUCT(5,INDEX('Weighted Scoring'!$B$5:$H$13,MATCH($B26,'Weighted Scoring'!$A$5:$A$13,0),0))*100))</f>
        <v/>
      </c>
      <c r="V26" s="10" t="str">
        <f aca="false">IF($A26="","",IF($D26="Basic",SUM(L26:R26)/35*100,SUMPRODUCT(L26:R26,INDEX('Weighted Scoring'!$I$5:$O$13,MATCH($B26,'Weighted Scoring'!$A$5:$A$13,0),0))/SUMPRODUCT(5,INDEX('Weighted Scoring'!$I$5:$O$13,MATCH($B26,'Weighted Scoring'!$A$5:$A$13,0),0))*100))</f>
        <v/>
      </c>
      <c r="W26" s="10" t="str">
        <f aca="false">IF($A26="","",V26-U26)</f>
        <v/>
      </c>
      <c r="X26" s="12" t="str">
        <f aca="false">IF($A26="","",IF(W26&gt;=40,"Stable Orbit",IF(W26&gt;=15,"Controlled Orbit",IF(W26&gt;=-14,"Edge Orbit",IF(W26&gt;=-39,"Unstable Orbit","Critical Orbit")))))</f>
        <v/>
      </c>
      <c r="Y26" s="12" t="str">
        <f aca="false">IF($A26="","",INDEX('Deployment Gates'!$C$5:$C$9,MATCH(AH26,'Deployment Gates'!$A$5:$A$9,0)))</f>
        <v/>
      </c>
      <c r="Z26" s="3"/>
      <c r="AA26" s="12" t="str">
        <f aca="false">IF($A26="","",IF(OR(AH26="Edge Orbit",AH26="Unstable Orbit",AH26="Critical Orbit",H26&gt;=4,G26&gt;=4,E26&gt;=4,J26&gt;=4),"Yes","No"))</f>
        <v/>
      </c>
      <c r="AB26" s="12" t="str">
        <f aca="false">IF($A26="","",IF(W26&lt;0,"Yes","No"))</f>
        <v/>
      </c>
      <c r="AC26" s="12" t="str">
        <f aca="false">IF($A26="","",INDEX($L$4:$R$4,1,MATCH(MIN(L26:R26),L26:R26,0))&amp;IF(COUNTIF(L26:R26,MIN(L26:R26))&gt;1," (+"&amp;(COUNTIF(L26:R26,MIN(L26:R26))-1)&amp;" tied)",""))</f>
        <v/>
      </c>
      <c r="AD26" s="12" t="str">
        <f aca="false">IF($A26="","",INDEX($E$4:$K$4,1,MATCH(MAX(E26:K26),E26:K26,0))&amp;IF(COUNTIF(E26:K26,MAX(E26:K26))&gt;1," (+"&amp;(COUNTIF(E26:K26,MAX(E26:K26))-1)&amp;" tied)",""))</f>
        <v/>
      </c>
      <c r="AE26" s="12" t="str">
        <f aca="false">IF($A26="","",INDEX('Control Uplift Planner'!$B$5:$B$11,MATCH(INDEX($L$4:$R$4,1,MATCH(MIN(L26:R26),L26:R26,0)),'Control Uplift Planner'!$A$5:$A$11,0)))</f>
        <v/>
      </c>
      <c r="AF26" s="13" t="str">
        <f aca="false">IF($A26="","",IF(MIN(IF(AND(E26&gt;=4,H26&gt;=4),3,9),IF(AND(OR(C26="Governed Operations Zone",C26="Autonomous Operations Zone"),E26&gt;=3),IF(MIN(L26:N26)=0,2,IF(MIN(L26:N26)=1,3,9)),9),IF(AND(OR(C26="Governed Operations Zone",C26="Autonomous Operations Zone"),S26&lt;4),3,9))=9,"None",IF(MIN(IF(AND(E26&gt;=4,H26&gt;=4),3,9),IF(AND(OR(C26="Governed Operations Zone",C26="Autonomous Operations Zone"),E26&gt;=3),IF(MIN(L26:N26)=0,2,IF(MIN(L26:N26)=1,3,9)),9),IF(AND(OR(C26="Governed Operations Zone",C26="Autonomous Operations Zone"),S26&lt;4),3,9))=1,"Critical Orbit",IF(MIN(IF(AND(E26&gt;=4,H26&gt;=4),3,9),IF(AND(OR(C26="Governed Operations Zone",C26="Autonomous Operations Zone"),E26&gt;=3),IF(MIN(L26:N26)=0,2,IF(MIN(L26:N26)=1,3,9)),9),IF(AND(OR(C26="Governed Operations Zone",C26="Autonomous Operations Zone"),S26&lt;4),3,9))=2,"Unstable Orbit","Edge Orbit"))))</f>
        <v/>
      </c>
      <c r="AG26" s="14" t="str">
        <f aca="false">IF($A26="","",IF(IF(AND(E26&gt;=4,H26&gt;=4),"R1 concentrated force; ","")&amp;IF(AND(OR(C26="Governed Operations Zone",C26="Autonomous Operations Zone"),E26&gt;=3,MIN(L26:N26)&lt;=1),"R2 mandatory control "&amp;INDEX($L$4:$N$4,1,MATCH(MIN(L26:N26),L26:N26,0))&amp;"="&amp;MIN(L26:N26)&amp;"; ","")&amp;IF(AND(OR(C26="Governed Operations Zone",C26="Autonomous Operations Zone"),S26&lt;4),"R3 evidence tier "&amp;S26&amp;"&lt;4; ","")="","-",IF(AND(E26&gt;=4,H26&gt;=4),"R1 concentrated force; ","")&amp;IF(AND(OR(C26="Governed Operations Zone",C26="Autonomous Operations Zone"),E26&gt;=3,MIN(L26:N26)&lt;=1),"R2 mandatory control "&amp;INDEX($L$4:$N$4,1,MATCH(MIN(L26:N26),L26:N26,0))&amp;"="&amp;MIN(L26:N26)&amp;"; ","")&amp;IF(AND(OR(C26="Governed Operations Zone",C26="Autonomous Operations Zone"),S26&lt;4),"R3 evidence tier "&amp;S26&amp;"&lt;4; ","")))</f>
        <v/>
      </c>
      <c r="AH26" s="14" t="str">
        <f aca="false">IF($A26="","",IF(MIN(IF(X26="Critical Orbit",1,IF(X26="Unstable Orbit",2,IF(X26="Edge Orbit",3,IF(X26="Controlled Orbit",4,5)))),IF(AF26="None",9,IF(AF26="Critical Orbit",1,IF(AF26="Unstable Orbit",2,IF(AF26="Edge Orbit",3,IF(AF26="Controlled Orbit",4,5))))))=1,"Critical Orbit",IF(MIN(IF(X26="Critical Orbit",1,IF(X26="Unstable Orbit",2,IF(X26="Edge Orbit",3,IF(X26="Controlled Orbit",4,5)))),IF(AF26="None",9,IF(AF26="Critical Orbit",1,IF(AF26="Unstable Orbit",2,IF(AF26="Edge Orbit",3,IF(AF26="Controlled Orbit",4,5))))))=2,"Unstable Orbit",IF(MIN(IF(X26="Critical Orbit",1,IF(X26="Unstable Orbit",2,IF(X26="Edge Orbit",3,IF(X26="Controlled Orbit",4,5)))),IF(AF26="None",9,IF(AF26="Critical Orbit",1,IF(AF26="Unstable Orbit",2,IF(AF26="Edge Orbit",3,IF(AF26="Controlled Orbit",4,5))))))=3,"Edge Orbit",IF(MIN(IF(X26="Critical Orbit",1,IF(X26="Unstable Orbit",2,IF(X26="Edge Orbit",3,IF(X26="Controlled Orbit",4,5)))),IF(AF26="None",9,IF(AF26="Critical Orbit",1,IF(AF26="Unstable Orbit",2,IF(AF26="Edge Orbit",3,IF(AF26="Controlled Orbit",4,5))))))=4,"Controlled Orbit","Stable Orbit")))))</f>
        <v/>
      </c>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12" t="str">
        <f aca="false">IF($A27="","",IF(AND(MAX(L27:R27)&gt;3,S27&lt;3),"Warning: EGI &gt;3 needs Tier 3+ evidence",IF(AND(C27="Autonomous Operations Zone",S27&lt;4),"Warning: Autonomous zone needs Tier 4 evidence","OK")))</f>
        <v/>
      </c>
      <c r="U27" s="10" t="str">
        <f aca="false">IF($A27="","",IF($D27="Basic",SUM(E27:K27)/35*100,SUMPRODUCT(E27:K27,INDEX('Weighted Scoring'!$B$5:$H$13,MATCH($B27,'Weighted Scoring'!$A$5:$A$13,0),0))/SUMPRODUCT(5,INDEX('Weighted Scoring'!$B$5:$H$13,MATCH($B27,'Weighted Scoring'!$A$5:$A$13,0),0))*100))</f>
        <v/>
      </c>
      <c r="V27" s="10" t="str">
        <f aca="false">IF($A27="","",IF($D27="Basic",SUM(L27:R27)/35*100,SUMPRODUCT(L27:R27,INDEX('Weighted Scoring'!$I$5:$O$13,MATCH($B27,'Weighted Scoring'!$A$5:$A$13,0),0))/SUMPRODUCT(5,INDEX('Weighted Scoring'!$I$5:$O$13,MATCH($B27,'Weighted Scoring'!$A$5:$A$13,0),0))*100))</f>
        <v/>
      </c>
      <c r="W27" s="10" t="str">
        <f aca="false">IF($A27="","",V27-U27)</f>
        <v/>
      </c>
      <c r="X27" s="12" t="str">
        <f aca="false">IF($A27="","",IF(W27&gt;=40,"Stable Orbit",IF(W27&gt;=15,"Controlled Orbit",IF(W27&gt;=-14,"Edge Orbit",IF(W27&gt;=-39,"Unstable Orbit","Critical Orbit")))))</f>
        <v/>
      </c>
      <c r="Y27" s="12" t="str">
        <f aca="false">IF($A27="","",INDEX('Deployment Gates'!$C$5:$C$9,MATCH(AH27,'Deployment Gates'!$A$5:$A$9,0)))</f>
        <v/>
      </c>
      <c r="Z27" s="3"/>
      <c r="AA27" s="12" t="str">
        <f aca="false">IF($A27="","",IF(OR(AH27="Edge Orbit",AH27="Unstable Orbit",AH27="Critical Orbit",H27&gt;=4,G27&gt;=4,E27&gt;=4,J27&gt;=4),"Yes","No"))</f>
        <v/>
      </c>
      <c r="AB27" s="12" t="str">
        <f aca="false">IF($A27="","",IF(W27&lt;0,"Yes","No"))</f>
        <v/>
      </c>
      <c r="AC27" s="12" t="str">
        <f aca="false">IF($A27="","",INDEX($L$4:$R$4,1,MATCH(MIN(L27:R27),L27:R27,0))&amp;IF(COUNTIF(L27:R27,MIN(L27:R27))&gt;1," (+"&amp;(COUNTIF(L27:R27,MIN(L27:R27))-1)&amp;" tied)",""))</f>
        <v/>
      </c>
      <c r="AD27" s="12" t="str">
        <f aca="false">IF($A27="","",INDEX($E$4:$K$4,1,MATCH(MAX(E27:K27),E27:K27,0))&amp;IF(COUNTIF(E27:K27,MAX(E27:K27))&gt;1," (+"&amp;(COUNTIF(E27:K27,MAX(E27:K27))-1)&amp;" tied)",""))</f>
        <v/>
      </c>
      <c r="AE27" s="12" t="str">
        <f aca="false">IF($A27="","",INDEX('Control Uplift Planner'!$B$5:$B$11,MATCH(INDEX($L$4:$R$4,1,MATCH(MIN(L27:R27),L27:R27,0)),'Control Uplift Planner'!$A$5:$A$11,0)))</f>
        <v/>
      </c>
      <c r="AF27" s="13" t="str">
        <f aca="false">IF($A27="","",IF(MIN(IF(AND(E27&gt;=4,H27&gt;=4),3,9),IF(AND(OR(C27="Governed Operations Zone",C27="Autonomous Operations Zone"),E27&gt;=3),IF(MIN(L27:N27)=0,2,IF(MIN(L27:N27)=1,3,9)),9),IF(AND(OR(C27="Governed Operations Zone",C27="Autonomous Operations Zone"),S27&lt;4),3,9))=9,"None",IF(MIN(IF(AND(E27&gt;=4,H27&gt;=4),3,9),IF(AND(OR(C27="Governed Operations Zone",C27="Autonomous Operations Zone"),E27&gt;=3),IF(MIN(L27:N27)=0,2,IF(MIN(L27:N27)=1,3,9)),9),IF(AND(OR(C27="Governed Operations Zone",C27="Autonomous Operations Zone"),S27&lt;4),3,9))=1,"Critical Orbit",IF(MIN(IF(AND(E27&gt;=4,H27&gt;=4),3,9),IF(AND(OR(C27="Governed Operations Zone",C27="Autonomous Operations Zone"),E27&gt;=3),IF(MIN(L27:N27)=0,2,IF(MIN(L27:N27)=1,3,9)),9),IF(AND(OR(C27="Governed Operations Zone",C27="Autonomous Operations Zone"),S27&lt;4),3,9))=2,"Unstable Orbit","Edge Orbit"))))</f>
        <v/>
      </c>
      <c r="AG27" s="14" t="str">
        <f aca="false">IF($A27="","",IF(IF(AND(E27&gt;=4,H27&gt;=4),"R1 concentrated force; ","")&amp;IF(AND(OR(C27="Governed Operations Zone",C27="Autonomous Operations Zone"),E27&gt;=3,MIN(L27:N27)&lt;=1),"R2 mandatory control "&amp;INDEX($L$4:$N$4,1,MATCH(MIN(L27:N27),L27:N27,0))&amp;"="&amp;MIN(L27:N27)&amp;"; ","")&amp;IF(AND(OR(C27="Governed Operations Zone",C27="Autonomous Operations Zone"),S27&lt;4),"R3 evidence tier "&amp;S27&amp;"&lt;4; ","")="","-",IF(AND(E27&gt;=4,H27&gt;=4),"R1 concentrated force; ","")&amp;IF(AND(OR(C27="Governed Operations Zone",C27="Autonomous Operations Zone"),E27&gt;=3,MIN(L27:N27)&lt;=1),"R2 mandatory control "&amp;INDEX($L$4:$N$4,1,MATCH(MIN(L27:N27),L27:N27,0))&amp;"="&amp;MIN(L27:N27)&amp;"; ","")&amp;IF(AND(OR(C27="Governed Operations Zone",C27="Autonomous Operations Zone"),S27&lt;4),"R3 evidence tier "&amp;S27&amp;"&lt;4; ","")))</f>
        <v/>
      </c>
      <c r="AH27" s="14" t="str">
        <f aca="false">IF($A27="","",IF(MIN(IF(X27="Critical Orbit",1,IF(X27="Unstable Orbit",2,IF(X27="Edge Orbit",3,IF(X27="Controlled Orbit",4,5)))),IF(AF27="None",9,IF(AF27="Critical Orbit",1,IF(AF27="Unstable Orbit",2,IF(AF27="Edge Orbit",3,IF(AF27="Controlled Orbit",4,5))))))=1,"Critical Orbit",IF(MIN(IF(X27="Critical Orbit",1,IF(X27="Unstable Orbit",2,IF(X27="Edge Orbit",3,IF(X27="Controlled Orbit",4,5)))),IF(AF27="None",9,IF(AF27="Critical Orbit",1,IF(AF27="Unstable Orbit",2,IF(AF27="Edge Orbit",3,IF(AF27="Controlled Orbit",4,5))))))=2,"Unstable Orbit",IF(MIN(IF(X27="Critical Orbit",1,IF(X27="Unstable Orbit",2,IF(X27="Edge Orbit",3,IF(X27="Controlled Orbit",4,5)))),IF(AF27="None",9,IF(AF27="Critical Orbit",1,IF(AF27="Unstable Orbit",2,IF(AF27="Edge Orbit",3,IF(AF27="Controlled Orbit",4,5))))))=3,"Edge Orbit",IF(MIN(IF(X27="Critical Orbit",1,IF(X27="Unstable Orbit",2,IF(X27="Edge Orbit",3,IF(X27="Controlled Orbit",4,5)))),IF(AF27="None",9,IF(AF27="Critical Orbit",1,IF(AF27="Unstable Orbit",2,IF(AF27="Edge Orbit",3,IF(AF27="Controlled Orbit",4,5))))))=4,"Controlled Orbit","Stable Orbit")))))</f>
        <v/>
      </c>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12" t="str">
        <f aca="false">IF($A28="","",IF(AND(MAX(L28:R28)&gt;3,S28&lt;3),"Warning: EGI &gt;3 needs Tier 3+ evidence",IF(AND(C28="Autonomous Operations Zone",S28&lt;4),"Warning: Autonomous zone needs Tier 4 evidence","OK")))</f>
        <v/>
      </c>
      <c r="U28" s="10" t="str">
        <f aca="false">IF($A28="","",IF($D28="Basic",SUM(E28:K28)/35*100,SUMPRODUCT(E28:K28,INDEX('Weighted Scoring'!$B$5:$H$13,MATCH($B28,'Weighted Scoring'!$A$5:$A$13,0),0))/SUMPRODUCT(5,INDEX('Weighted Scoring'!$B$5:$H$13,MATCH($B28,'Weighted Scoring'!$A$5:$A$13,0),0))*100))</f>
        <v/>
      </c>
      <c r="V28" s="10" t="str">
        <f aca="false">IF($A28="","",IF($D28="Basic",SUM(L28:R28)/35*100,SUMPRODUCT(L28:R28,INDEX('Weighted Scoring'!$I$5:$O$13,MATCH($B28,'Weighted Scoring'!$A$5:$A$13,0),0))/SUMPRODUCT(5,INDEX('Weighted Scoring'!$I$5:$O$13,MATCH($B28,'Weighted Scoring'!$A$5:$A$13,0),0))*100))</f>
        <v/>
      </c>
      <c r="W28" s="10" t="str">
        <f aca="false">IF($A28="","",V28-U28)</f>
        <v/>
      </c>
      <c r="X28" s="12" t="str">
        <f aca="false">IF($A28="","",IF(W28&gt;=40,"Stable Orbit",IF(W28&gt;=15,"Controlled Orbit",IF(W28&gt;=-14,"Edge Orbit",IF(W28&gt;=-39,"Unstable Orbit","Critical Orbit")))))</f>
        <v/>
      </c>
      <c r="Y28" s="12" t="str">
        <f aca="false">IF($A28="","",INDEX('Deployment Gates'!$C$5:$C$9,MATCH(AH28,'Deployment Gates'!$A$5:$A$9,0)))</f>
        <v/>
      </c>
      <c r="Z28" s="3"/>
      <c r="AA28" s="12" t="str">
        <f aca="false">IF($A28="","",IF(OR(AH28="Edge Orbit",AH28="Unstable Orbit",AH28="Critical Orbit",H28&gt;=4,G28&gt;=4,E28&gt;=4,J28&gt;=4),"Yes","No"))</f>
        <v/>
      </c>
      <c r="AB28" s="12" t="str">
        <f aca="false">IF($A28="","",IF(W28&lt;0,"Yes","No"))</f>
        <v/>
      </c>
      <c r="AC28" s="12" t="str">
        <f aca="false">IF($A28="","",INDEX($L$4:$R$4,1,MATCH(MIN(L28:R28),L28:R28,0))&amp;IF(COUNTIF(L28:R28,MIN(L28:R28))&gt;1," (+"&amp;(COUNTIF(L28:R28,MIN(L28:R28))-1)&amp;" tied)",""))</f>
        <v/>
      </c>
      <c r="AD28" s="12" t="str">
        <f aca="false">IF($A28="","",INDEX($E$4:$K$4,1,MATCH(MAX(E28:K28),E28:K28,0))&amp;IF(COUNTIF(E28:K28,MAX(E28:K28))&gt;1," (+"&amp;(COUNTIF(E28:K28,MAX(E28:K28))-1)&amp;" tied)",""))</f>
        <v/>
      </c>
      <c r="AE28" s="12" t="str">
        <f aca="false">IF($A28="","",INDEX('Control Uplift Planner'!$B$5:$B$11,MATCH(INDEX($L$4:$R$4,1,MATCH(MIN(L28:R28),L28:R28,0)),'Control Uplift Planner'!$A$5:$A$11,0)))</f>
        <v/>
      </c>
      <c r="AF28" s="13" t="str">
        <f aca="false">IF($A28="","",IF(MIN(IF(AND(E28&gt;=4,H28&gt;=4),3,9),IF(AND(OR(C28="Governed Operations Zone",C28="Autonomous Operations Zone"),E28&gt;=3),IF(MIN(L28:N28)=0,2,IF(MIN(L28:N28)=1,3,9)),9),IF(AND(OR(C28="Governed Operations Zone",C28="Autonomous Operations Zone"),S28&lt;4),3,9))=9,"None",IF(MIN(IF(AND(E28&gt;=4,H28&gt;=4),3,9),IF(AND(OR(C28="Governed Operations Zone",C28="Autonomous Operations Zone"),E28&gt;=3),IF(MIN(L28:N28)=0,2,IF(MIN(L28:N28)=1,3,9)),9),IF(AND(OR(C28="Governed Operations Zone",C28="Autonomous Operations Zone"),S28&lt;4),3,9))=1,"Critical Orbit",IF(MIN(IF(AND(E28&gt;=4,H28&gt;=4),3,9),IF(AND(OR(C28="Governed Operations Zone",C28="Autonomous Operations Zone"),E28&gt;=3),IF(MIN(L28:N28)=0,2,IF(MIN(L28:N28)=1,3,9)),9),IF(AND(OR(C28="Governed Operations Zone",C28="Autonomous Operations Zone"),S28&lt;4),3,9))=2,"Unstable Orbit","Edge Orbit"))))</f>
        <v/>
      </c>
      <c r="AG28" s="14" t="str">
        <f aca="false">IF($A28="","",IF(IF(AND(E28&gt;=4,H28&gt;=4),"R1 concentrated force; ","")&amp;IF(AND(OR(C28="Governed Operations Zone",C28="Autonomous Operations Zone"),E28&gt;=3,MIN(L28:N28)&lt;=1),"R2 mandatory control "&amp;INDEX($L$4:$N$4,1,MATCH(MIN(L28:N28),L28:N28,0))&amp;"="&amp;MIN(L28:N28)&amp;"; ","")&amp;IF(AND(OR(C28="Governed Operations Zone",C28="Autonomous Operations Zone"),S28&lt;4),"R3 evidence tier "&amp;S28&amp;"&lt;4; ","")="","-",IF(AND(E28&gt;=4,H28&gt;=4),"R1 concentrated force; ","")&amp;IF(AND(OR(C28="Governed Operations Zone",C28="Autonomous Operations Zone"),E28&gt;=3,MIN(L28:N28)&lt;=1),"R2 mandatory control "&amp;INDEX($L$4:$N$4,1,MATCH(MIN(L28:N28),L28:N28,0))&amp;"="&amp;MIN(L28:N28)&amp;"; ","")&amp;IF(AND(OR(C28="Governed Operations Zone",C28="Autonomous Operations Zone"),S28&lt;4),"R3 evidence tier "&amp;S28&amp;"&lt;4; ","")))</f>
        <v/>
      </c>
      <c r="AH28" s="14" t="str">
        <f aca="false">IF($A28="","",IF(MIN(IF(X28="Critical Orbit",1,IF(X28="Unstable Orbit",2,IF(X28="Edge Orbit",3,IF(X28="Controlled Orbit",4,5)))),IF(AF28="None",9,IF(AF28="Critical Orbit",1,IF(AF28="Unstable Orbit",2,IF(AF28="Edge Orbit",3,IF(AF28="Controlled Orbit",4,5))))))=1,"Critical Orbit",IF(MIN(IF(X28="Critical Orbit",1,IF(X28="Unstable Orbit",2,IF(X28="Edge Orbit",3,IF(X28="Controlled Orbit",4,5)))),IF(AF28="None",9,IF(AF28="Critical Orbit",1,IF(AF28="Unstable Orbit",2,IF(AF28="Edge Orbit",3,IF(AF28="Controlled Orbit",4,5))))))=2,"Unstable Orbit",IF(MIN(IF(X28="Critical Orbit",1,IF(X28="Unstable Orbit",2,IF(X28="Edge Orbit",3,IF(X28="Controlled Orbit",4,5)))),IF(AF28="None",9,IF(AF28="Critical Orbit",1,IF(AF28="Unstable Orbit",2,IF(AF28="Edge Orbit",3,IF(AF28="Controlled Orbit",4,5))))))=3,"Edge Orbit",IF(MIN(IF(X28="Critical Orbit",1,IF(X28="Unstable Orbit",2,IF(X28="Edge Orbit",3,IF(X28="Controlled Orbit",4,5)))),IF(AF28="None",9,IF(AF28="Critical Orbit",1,IF(AF28="Unstable Orbit",2,IF(AF28="Edge Orbit",3,IF(AF28="Controlled Orbit",4,5))))))=4,"Controlled Orbit","Stable Orbit")))))</f>
        <v/>
      </c>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12" t="str">
        <f aca="false">IF($A29="","",IF(AND(MAX(L29:R29)&gt;3,S29&lt;3),"Warning: EGI &gt;3 needs Tier 3+ evidence",IF(AND(C29="Autonomous Operations Zone",S29&lt;4),"Warning: Autonomous zone needs Tier 4 evidence","OK")))</f>
        <v/>
      </c>
      <c r="U29" s="10" t="str">
        <f aca="false">IF($A29="","",IF($D29="Basic",SUM(E29:K29)/35*100,SUMPRODUCT(E29:K29,INDEX('Weighted Scoring'!$B$5:$H$13,MATCH($B29,'Weighted Scoring'!$A$5:$A$13,0),0))/SUMPRODUCT(5,INDEX('Weighted Scoring'!$B$5:$H$13,MATCH($B29,'Weighted Scoring'!$A$5:$A$13,0),0))*100))</f>
        <v/>
      </c>
      <c r="V29" s="10" t="str">
        <f aca="false">IF($A29="","",IF($D29="Basic",SUM(L29:R29)/35*100,SUMPRODUCT(L29:R29,INDEX('Weighted Scoring'!$I$5:$O$13,MATCH($B29,'Weighted Scoring'!$A$5:$A$13,0),0))/SUMPRODUCT(5,INDEX('Weighted Scoring'!$I$5:$O$13,MATCH($B29,'Weighted Scoring'!$A$5:$A$13,0),0))*100))</f>
        <v/>
      </c>
      <c r="W29" s="10" t="str">
        <f aca="false">IF($A29="","",V29-U29)</f>
        <v/>
      </c>
      <c r="X29" s="12" t="str">
        <f aca="false">IF($A29="","",IF(W29&gt;=40,"Stable Orbit",IF(W29&gt;=15,"Controlled Orbit",IF(W29&gt;=-14,"Edge Orbit",IF(W29&gt;=-39,"Unstable Orbit","Critical Orbit")))))</f>
        <v/>
      </c>
      <c r="Y29" s="12" t="str">
        <f aca="false">IF($A29="","",INDEX('Deployment Gates'!$C$5:$C$9,MATCH(AH29,'Deployment Gates'!$A$5:$A$9,0)))</f>
        <v/>
      </c>
      <c r="Z29" s="3"/>
      <c r="AA29" s="12" t="str">
        <f aca="false">IF($A29="","",IF(OR(AH29="Edge Orbit",AH29="Unstable Orbit",AH29="Critical Orbit",H29&gt;=4,G29&gt;=4,E29&gt;=4,J29&gt;=4),"Yes","No"))</f>
        <v/>
      </c>
      <c r="AB29" s="12" t="str">
        <f aca="false">IF($A29="","",IF(W29&lt;0,"Yes","No"))</f>
        <v/>
      </c>
      <c r="AC29" s="12" t="str">
        <f aca="false">IF($A29="","",INDEX($L$4:$R$4,1,MATCH(MIN(L29:R29),L29:R29,0))&amp;IF(COUNTIF(L29:R29,MIN(L29:R29))&gt;1," (+"&amp;(COUNTIF(L29:R29,MIN(L29:R29))-1)&amp;" tied)",""))</f>
        <v/>
      </c>
      <c r="AD29" s="12" t="str">
        <f aca="false">IF($A29="","",INDEX($E$4:$K$4,1,MATCH(MAX(E29:K29),E29:K29,0))&amp;IF(COUNTIF(E29:K29,MAX(E29:K29))&gt;1," (+"&amp;(COUNTIF(E29:K29,MAX(E29:K29))-1)&amp;" tied)",""))</f>
        <v/>
      </c>
      <c r="AE29" s="12" t="str">
        <f aca="false">IF($A29="","",INDEX('Control Uplift Planner'!$B$5:$B$11,MATCH(INDEX($L$4:$R$4,1,MATCH(MIN(L29:R29),L29:R29,0)),'Control Uplift Planner'!$A$5:$A$11,0)))</f>
        <v/>
      </c>
      <c r="AF29" s="13" t="str">
        <f aca="false">IF($A29="","",IF(MIN(IF(AND(E29&gt;=4,H29&gt;=4),3,9),IF(AND(OR(C29="Governed Operations Zone",C29="Autonomous Operations Zone"),E29&gt;=3),IF(MIN(L29:N29)=0,2,IF(MIN(L29:N29)=1,3,9)),9),IF(AND(OR(C29="Governed Operations Zone",C29="Autonomous Operations Zone"),S29&lt;4),3,9))=9,"None",IF(MIN(IF(AND(E29&gt;=4,H29&gt;=4),3,9),IF(AND(OR(C29="Governed Operations Zone",C29="Autonomous Operations Zone"),E29&gt;=3),IF(MIN(L29:N29)=0,2,IF(MIN(L29:N29)=1,3,9)),9),IF(AND(OR(C29="Governed Operations Zone",C29="Autonomous Operations Zone"),S29&lt;4),3,9))=1,"Critical Orbit",IF(MIN(IF(AND(E29&gt;=4,H29&gt;=4),3,9),IF(AND(OR(C29="Governed Operations Zone",C29="Autonomous Operations Zone"),E29&gt;=3),IF(MIN(L29:N29)=0,2,IF(MIN(L29:N29)=1,3,9)),9),IF(AND(OR(C29="Governed Operations Zone",C29="Autonomous Operations Zone"),S29&lt;4),3,9))=2,"Unstable Orbit","Edge Orbit"))))</f>
        <v/>
      </c>
      <c r="AG29" s="14" t="str">
        <f aca="false">IF($A29="","",IF(IF(AND(E29&gt;=4,H29&gt;=4),"R1 concentrated force; ","")&amp;IF(AND(OR(C29="Governed Operations Zone",C29="Autonomous Operations Zone"),E29&gt;=3,MIN(L29:N29)&lt;=1),"R2 mandatory control "&amp;INDEX($L$4:$N$4,1,MATCH(MIN(L29:N29),L29:N29,0))&amp;"="&amp;MIN(L29:N29)&amp;"; ","")&amp;IF(AND(OR(C29="Governed Operations Zone",C29="Autonomous Operations Zone"),S29&lt;4),"R3 evidence tier "&amp;S29&amp;"&lt;4; ","")="","-",IF(AND(E29&gt;=4,H29&gt;=4),"R1 concentrated force; ","")&amp;IF(AND(OR(C29="Governed Operations Zone",C29="Autonomous Operations Zone"),E29&gt;=3,MIN(L29:N29)&lt;=1),"R2 mandatory control "&amp;INDEX($L$4:$N$4,1,MATCH(MIN(L29:N29),L29:N29,0))&amp;"="&amp;MIN(L29:N29)&amp;"; ","")&amp;IF(AND(OR(C29="Governed Operations Zone",C29="Autonomous Operations Zone"),S29&lt;4),"R3 evidence tier "&amp;S29&amp;"&lt;4; ","")))</f>
        <v/>
      </c>
      <c r="AH29" s="14" t="str">
        <f aca="false">IF($A29="","",IF(MIN(IF(X29="Critical Orbit",1,IF(X29="Unstable Orbit",2,IF(X29="Edge Orbit",3,IF(X29="Controlled Orbit",4,5)))),IF(AF29="None",9,IF(AF29="Critical Orbit",1,IF(AF29="Unstable Orbit",2,IF(AF29="Edge Orbit",3,IF(AF29="Controlled Orbit",4,5))))))=1,"Critical Orbit",IF(MIN(IF(X29="Critical Orbit",1,IF(X29="Unstable Orbit",2,IF(X29="Edge Orbit",3,IF(X29="Controlled Orbit",4,5)))),IF(AF29="None",9,IF(AF29="Critical Orbit",1,IF(AF29="Unstable Orbit",2,IF(AF29="Edge Orbit",3,IF(AF29="Controlled Orbit",4,5))))))=2,"Unstable Orbit",IF(MIN(IF(X29="Critical Orbit",1,IF(X29="Unstable Orbit",2,IF(X29="Edge Orbit",3,IF(X29="Controlled Orbit",4,5)))),IF(AF29="None",9,IF(AF29="Critical Orbit",1,IF(AF29="Unstable Orbit",2,IF(AF29="Edge Orbit",3,IF(AF29="Controlled Orbit",4,5))))))=3,"Edge Orbit",IF(MIN(IF(X29="Critical Orbit",1,IF(X29="Unstable Orbit",2,IF(X29="Edge Orbit",3,IF(X29="Controlled Orbit",4,5)))),IF(AF29="None",9,IF(AF29="Critical Orbit",1,IF(AF29="Unstable Orbit",2,IF(AF29="Edge Orbit",3,IF(AF29="Controlled Orbit",4,5))))))=4,"Controlled Orbit","Stable Orbit")))))</f>
        <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12" t="str">
        <f aca="false">IF($A30="","",IF(AND(MAX(L30:R30)&gt;3,S30&lt;3),"Warning: EGI &gt;3 needs Tier 3+ evidence",IF(AND(C30="Autonomous Operations Zone",S30&lt;4),"Warning: Autonomous zone needs Tier 4 evidence","OK")))</f>
        <v/>
      </c>
      <c r="U30" s="10" t="str">
        <f aca="false">IF($A30="","",IF($D30="Basic",SUM(E30:K30)/35*100,SUMPRODUCT(E30:K30,INDEX('Weighted Scoring'!$B$5:$H$13,MATCH($B30,'Weighted Scoring'!$A$5:$A$13,0),0))/SUMPRODUCT(5,INDEX('Weighted Scoring'!$B$5:$H$13,MATCH($B30,'Weighted Scoring'!$A$5:$A$13,0),0))*100))</f>
        <v/>
      </c>
      <c r="V30" s="10" t="str">
        <f aca="false">IF($A30="","",IF($D30="Basic",SUM(L30:R30)/35*100,SUMPRODUCT(L30:R30,INDEX('Weighted Scoring'!$I$5:$O$13,MATCH($B30,'Weighted Scoring'!$A$5:$A$13,0),0))/SUMPRODUCT(5,INDEX('Weighted Scoring'!$I$5:$O$13,MATCH($B30,'Weighted Scoring'!$A$5:$A$13,0),0))*100))</f>
        <v/>
      </c>
      <c r="W30" s="10" t="str">
        <f aca="false">IF($A30="","",V30-U30)</f>
        <v/>
      </c>
      <c r="X30" s="12" t="str">
        <f aca="false">IF($A30="","",IF(W30&gt;=40,"Stable Orbit",IF(W30&gt;=15,"Controlled Orbit",IF(W30&gt;=-14,"Edge Orbit",IF(W30&gt;=-39,"Unstable Orbit","Critical Orbit")))))</f>
        <v/>
      </c>
      <c r="Y30" s="12" t="str">
        <f aca="false">IF($A30="","",INDEX('Deployment Gates'!$C$5:$C$9,MATCH(AH30,'Deployment Gates'!$A$5:$A$9,0)))</f>
        <v/>
      </c>
      <c r="Z30" s="3"/>
      <c r="AA30" s="12" t="str">
        <f aca="false">IF($A30="","",IF(OR(AH30="Edge Orbit",AH30="Unstable Orbit",AH30="Critical Orbit",H30&gt;=4,G30&gt;=4,E30&gt;=4,J30&gt;=4),"Yes","No"))</f>
        <v/>
      </c>
      <c r="AB30" s="12" t="str">
        <f aca="false">IF($A30="","",IF(W30&lt;0,"Yes","No"))</f>
        <v/>
      </c>
      <c r="AC30" s="12" t="str">
        <f aca="false">IF($A30="","",INDEX($L$4:$R$4,1,MATCH(MIN(L30:R30),L30:R30,0))&amp;IF(COUNTIF(L30:R30,MIN(L30:R30))&gt;1," (+"&amp;(COUNTIF(L30:R30,MIN(L30:R30))-1)&amp;" tied)",""))</f>
        <v/>
      </c>
      <c r="AD30" s="12" t="str">
        <f aca="false">IF($A30="","",INDEX($E$4:$K$4,1,MATCH(MAX(E30:K30),E30:K30,0))&amp;IF(COUNTIF(E30:K30,MAX(E30:K30))&gt;1," (+"&amp;(COUNTIF(E30:K30,MAX(E30:K30))-1)&amp;" tied)",""))</f>
        <v/>
      </c>
      <c r="AE30" s="12" t="str">
        <f aca="false">IF($A30="","",INDEX('Control Uplift Planner'!$B$5:$B$11,MATCH(INDEX($L$4:$R$4,1,MATCH(MIN(L30:R30),L30:R30,0)),'Control Uplift Planner'!$A$5:$A$11,0)))</f>
        <v/>
      </c>
      <c r="AF30" s="13" t="str">
        <f aca="false">IF($A30="","",IF(MIN(IF(AND(E30&gt;=4,H30&gt;=4),3,9),IF(AND(OR(C30="Governed Operations Zone",C30="Autonomous Operations Zone"),E30&gt;=3),IF(MIN(L30:N30)=0,2,IF(MIN(L30:N30)=1,3,9)),9),IF(AND(OR(C30="Governed Operations Zone",C30="Autonomous Operations Zone"),S30&lt;4),3,9))=9,"None",IF(MIN(IF(AND(E30&gt;=4,H30&gt;=4),3,9),IF(AND(OR(C30="Governed Operations Zone",C30="Autonomous Operations Zone"),E30&gt;=3),IF(MIN(L30:N30)=0,2,IF(MIN(L30:N30)=1,3,9)),9),IF(AND(OR(C30="Governed Operations Zone",C30="Autonomous Operations Zone"),S30&lt;4),3,9))=1,"Critical Orbit",IF(MIN(IF(AND(E30&gt;=4,H30&gt;=4),3,9),IF(AND(OR(C30="Governed Operations Zone",C30="Autonomous Operations Zone"),E30&gt;=3),IF(MIN(L30:N30)=0,2,IF(MIN(L30:N30)=1,3,9)),9),IF(AND(OR(C30="Governed Operations Zone",C30="Autonomous Operations Zone"),S30&lt;4),3,9))=2,"Unstable Orbit","Edge Orbit"))))</f>
        <v/>
      </c>
      <c r="AG30" s="14" t="str">
        <f aca="false">IF($A30="","",IF(IF(AND(E30&gt;=4,H30&gt;=4),"R1 concentrated force; ","")&amp;IF(AND(OR(C30="Governed Operations Zone",C30="Autonomous Operations Zone"),E30&gt;=3,MIN(L30:N30)&lt;=1),"R2 mandatory control "&amp;INDEX($L$4:$N$4,1,MATCH(MIN(L30:N30),L30:N30,0))&amp;"="&amp;MIN(L30:N30)&amp;"; ","")&amp;IF(AND(OR(C30="Governed Operations Zone",C30="Autonomous Operations Zone"),S30&lt;4),"R3 evidence tier "&amp;S30&amp;"&lt;4; ","")="","-",IF(AND(E30&gt;=4,H30&gt;=4),"R1 concentrated force; ","")&amp;IF(AND(OR(C30="Governed Operations Zone",C30="Autonomous Operations Zone"),E30&gt;=3,MIN(L30:N30)&lt;=1),"R2 mandatory control "&amp;INDEX($L$4:$N$4,1,MATCH(MIN(L30:N30),L30:N30,0))&amp;"="&amp;MIN(L30:N30)&amp;"; ","")&amp;IF(AND(OR(C30="Governed Operations Zone",C30="Autonomous Operations Zone"),S30&lt;4),"R3 evidence tier "&amp;S30&amp;"&lt;4; ","")))</f>
        <v/>
      </c>
      <c r="AH30" s="14" t="str">
        <f aca="false">IF($A30="","",IF(MIN(IF(X30="Critical Orbit",1,IF(X30="Unstable Orbit",2,IF(X30="Edge Orbit",3,IF(X30="Controlled Orbit",4,5)))),IF(AF30="None",9,IF(AF30="Critical Orbit",1,IF(AF30="Unstable Orbit",2,IF(AF30="Edge Orbit",3,IF(AF30="Controlled Orbit",4,5))))))=1,"Critical Orbit",IF(MIN(IF(X30="Critical Orbit",1,IF(X30="Unstable Orbit",2,IF(X30="Edge Orbit",3,IF(X30="Controlled Orbit",4,5)))),IF(AF30="None",9,IF(AF30="Critical Orbit",1,IF(AF30="Unstable Orbit",2,IF(AF30="Edge Orbit",3,IF(AF30="Controlled Orbit",4,5))))))=2,"Unstable Orbit",IF(MIN(IF(X30="Critical Orbit",1,IF(X30="Unstable Orbit",2,IF(X30="Edge Orbit",3,IF(X30="Controlled Orbit",4,5)))),IF(AF30="None",9,IF(AF30="Critical Orbit",1,IF(AF30="Unstable Orbit",2,IF(AF30="Edge Orbit",3,IF(AF30="Controlled Orbit",4,5))))))=3,"Edge Orbit",IF(MIN(IF(X30="Critical Orbit",1,IF(X30="Unstable Orbit",2,IF(X30="Edge Orbit",3,IF(X30="Controlled Orbit",4,5)))),IF(AF30="None",9,IF(AF30="Critical Orbit",1,IF(AF30="Unstable Orbit",2,IF(AF30="Edge Orbit",3,IF(AF30="Controlled Orbit",4,5))))))=4,"Controlled Orbit","Stable Orbit")))))</f>
        <v/>
      </c>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12" t="str">
        <f aca="false">IF($A31="","",IF(AND(MAX(L31:R31)&gt;3,S31&lt;3),"Warning: EGI &gt;3 needs Tier 3+ evidence",IF(AND(C31="Autonomous Operations Zone",S31&lt;4),"Warning: Autonomous zone needs Tier 4 evidence","OK")))</f>
        <v/>
      </c>
      <c r="U31" s="10" t="str">
        <f aca="false">IF($A31="","",IF($D31="Basic",SUM(E31:K31)/35*100,SUMPRODUCT(E31:K31,INDEX('Weighted Scoring'!$B$5:$H$13,MATCH($B31,'Weighted Scoring'!$A$5:$A$13,0),0))/SUMPRODUCT(5,INDEX('Weighted Scoring'!$B$5:$H$13,MATCH($B31,'Weighted Scoring'!$A$5:$A$13,0),0))*100))</f>
        <v/>
      </c>
      <c r="V31" s="10" t="str">
        <f aca="false">IF($A31="","",IF($D31="Basic",SUM(L31:R31)/35*100,SUMPRODUCT(L31:R31,INDEX('Weighted Scoring'!$I$5:$O$13,MATCH($B31,'Weighted Scoring'!$A$5:$A$13,0),0))/SUMPRODUCT(5,INDEX('Weighted Scoring'!$I$5:$O$13,MATCH($B31,'Weighted Scoring'!$A$5:$A$13,0),0))*100))</f>
        <v/>
      </c>
      <c r="W31" s="10" t="str">
        <f aca="false">IF($A31="","",V31-U31)</f>
        <v/>
      </c>
      <c r="X31" s="12" t="str">
        <f aca="false">IF($A31="","",IF(W31&gt;=40,"Stable Orbit",IF(W31&gt;=15,"Controlled Orbit",IF(W31&gt;=-14,"Edge Orbit",IF(W31&gt;=-39,"Unstable Orbit","Critical Orbit")))))</f>
        <v/>
      </c>
      <c r="Y31" s="12" t="str">
        <f aca="false">IF($A31="","",INDEX('Deployment Gates'!$C$5:$C$9,MATCH(AH31,'Deployment Gates'!$A$5:$A$9,0)))</f>
        <v/>
      </c>
      <c r="Z31" s="3"/>
      <c r="AA31" s="12" t="str">
        <f aca="false">IF($A31="","",IF(OR(AH31="Edge Orbit",AH31="Unstable Orbit",AH31="Critical Orbit",H31&gt;=4,G31&gt;=4,E31&gt;=4,J31&gt;=4),"Yes","No"))</f>
        <v/>
      </c>
      <c r="AB31" s="12" t="str">
        <f aca="false">IF($A31="","",IF(W31&lt;0,"Yes","No"))</f>
        <v/>
      </c>
      <c r="AC31" s="12" t="str">
        <f aca="false">IF($A31="","",INDEX($L$4:$R$4,1,MATCH(MIN(L31:R31),L31:R31,0))&amp;IF(COUNTIF(L31:R31,MIN(L31:R31))&gt;1," (+"&amp;(COUNTIF(L31:R31,MIN(L31:R31))-1)&amp;" tied)",""))</f>
        <v/>
      </c>
      <c r="AD31" s="12" t="str">
        <f aca="false">IF($A31="","",INDEX($E$4:$K$4,1,MATCH(MAX(E31:K31),E31:K31,0))&amp;IF(COUNTIF(E31:K31,MAX(E31:K31))&gt;1," (+"&amp;(COUNTIF(E31:K31,MAX(E31:K31))-1)&amp;" tied)",""))</f>
        <v/>
      </c>
      <c r="AE31" s="12" t="str">
        <f aca="false">IF($A31="","",INDEX('Control Uplift Planner'!$B$5:$B$11,MATCH(INDEX($L$4:$R$4,1,MATCH(MIN(L31:R31),L31:R31,0)),'Control Uplift Planner'!$A$5:$A$11,0)))</f>
        <v/>
      </c>
      <c r="AF31" s="13" t="str">
        <f aca="false">IF($A31="","",IF(MIN(IF(AND(E31&gt;=4,H31&gt;=4),3,9),IF(AND(OR(C31="Governed Operations Zone",C31="Autonomous Operations Zone"),E31&gt;=3),IF(MIN(L31:N31)=0,2,IF(MIN(L31:N31)=1,3,9)),9),IF(AND(OR(C31="Governed Operations Zone",C31="Autonomous Operations Zone"),S31&lt;4),3,9))=9,"None",IF(MIN(IF(AND(E31&gt;=4,H31&gt;=4),3,9),IF(AND(OR(C31="Governed Operations Zone",C31="Autonomous Operations Zone"),E31&gt;=3),IF(MIN(L31:N31)=0,2,IF(MIN(L31:N31)=1,3,9)),9),IF(AND(OR(C31="Governed Operations Zone",C31="Autonomous Operations Zone"),S31&lt;4),3,9))=1,"Critical Orbit",IF(MIN(IF(AND(E31&gt;=4,H31&gt;=4),3,9),IF(AND(OR(C31="Governed Operations Zone",C31="Autonomous Operations Zone"),E31&gt;=3),IF(MIN(L31:N31)=0,2,IF(MIN(L31:N31)=1,3,9)),9),IF(AND(OR(C31="Governed Operations Zone",C31="Autonomous Operations Zone"),S31&lt;4),3,9))=2,"Unstable Orbit","Edge Orbit"))))</f>
        <v/>
      </c>
      <c r="AG31" s="14" t="str">
        <f aca="false">IF($A31="","",IF(IF(AND(E31&gt;=4,H31&gt;=4),"R1 concentrated force; ","")&amp;IF(AND(OR(C31="Governed Operations Zone",C31="Autonomous Operations Zone"),E31&gt;=3,MIN(L31:N31)&lt;=1),"R2 mandatory control "&amp;INDEX($L$4:$N$4,1,MATCH(MIN(L31:N31),L31:N31,0))&amp;"="&amp;MIN(L31:N31)&amp;"; ","")&amp;IF(AND(OR(C31="Governed Operations Zone",C31="Autonomous Operations Zone"),S31&lt;4),"R3 evidence tier "&amp;S31&amp;"&lt;4; ","")="","-",IF(AND(E31&gt;=4,H31&gt;=4),"R1 concentrated force; ","")&amp;IF(AND(OR(C31="Governed Operations Zone",C31="Autonomous Operations Zone"),E31&gt;=3,MIN(L31:N31)&lt;=1),"R2 mandatory control "&amp;INDEX($L$4:$N$4,1,MATCH(MIN(L31:N31),L31:N31,0))&amp;"="&amp;MIN(L31:N31)&amp;"; ","")&amp;IF(AND(OR(C31="Governed Operations Zone",C31="Autonomous Operations Zone"),S31&lt;4),"R3 evidence tier "&amp;S31&amp;"&lt;4; ","")))</f>
        <v/>
      </c>
      <c r="AH31" s="14" t="str">
        <f aca="false">IF($A31="","",IF(MIN(IF(X31="Critical Orbit",1,IF(X31="Unstable Orbit",2,IF(X31="Edge Orbit",3,IF(X31="Controlled Orbit",4,5)))),IF(AF31="None",9,IF(AF31="Critical Orbit",1,IF(AF31="Unstable Orbit",2,IF(AF31="Edge Orbit",3,IF(AF31="Controlled Orbit",4,5))))))=1,"Critical Orbit",IF(MIN(IF(X31="Critical Orbit",1,IF(X31="Unstable Orbit",2,IF(X31="Edge Orbit",3,IF(X31="Controlled Orbit",4,5)))),IF(AF31="None",9,IF(AF31="Critical Orbit",1,IF(AF31="Unstable Orbit",2,IF(AF31="Edge Orbit",3,IF(AF31="Controlled Orbit",4,5))))))=2,"Unstable Orbit",IF(MIN(IF(X31="Critical Orbit",1,IF(X31="Unstable Orbit",2,IF(X31="Edge Orbit",3,IF(X31="Controlled Orbit",4,5)))),IF(AF31="None",9,IF(AF31="Critical Orbit",1,IF(AF31="Unstable Orbit",2,IF(AF31="Edge Orbit",3,IF(AF31="Controlled Orbit",4,5))))))=3,"Edge Orbit",IF(MIN(IF(X31="Critical Orbit",1,IF(X31="Unstable Orbit",2,IF(X31="Edge Orbit",3,IF(X31="Controlled Orbit",4,5)))),IF(AF31="None",9,IF(AF31="Critical Orbit",1,IF(AF31="Unstable Orbit",2,IF(AF31="Edge Orbit",3,IF(AF31="Controlled Orbit",4,5))))))=4,"Controlled Orbit","Stable Orbit")))))</f>
        <v/>
      </c>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12" t="str">
        <f aca="false">IF($A32="","",IF(AND(MAX(L32:R32)&gt;3,S32&lt;3),"Warning: EGI &gt;3 needs Tier 3+ evidence",IF(AND(C32="Autonomous Operations Zone",S32&lt;4),"Warning: Autonomous zone needs Tier 4 evidence","OK")))</f>
        <v/>
      </c>
      <c r="U32" s="10" t="str">
        <f aca="false">IF($A32="","",IF($D32="Basic",SUM(E32:K32)/35*100,SUMPRODUCT(E32:K32,INDEX('Weighted Scoring'!$B$5:$H$13,MATCH($B32,'Weighted Scoring'!$A$5:$A$13,0),0))/SUMPRODUCT(5,INDEX('Weighted Scoring'!$B$5:$H$13,MATCH($B32,'Weighted Scoring'!$A$5:$A$13,0),0))*100))</f>
        <v/>
      </c>
      <c r="V32" s="10" t="str">
        <f aca="false">IF($A32="","",IF($D32="Basic",SUM(L32:R32)/35*100,SUMPRODUCT(L32:R32,INDEX('Weighted Scoring'!$I$5:$O$13,MATCH($B32,'Weighted Scoring'!$A$5:$A$13,0),0))/SUMPRODUCT(5,INDEX('Weighted Scoring'!$I$5:$O$13,MATCH($B32,'Weighted Scoring'!$A$5:$A$13,0),0))*100))</f>
        <v/>
      </c>
      <c r="W32" s="10" t="str">
        <f aca="false">IF($A32="","",V32-U32)</f>
        <v/>
      </c>
      <c r="X32" s="12" t="str">
        <f aca="false">IF($A32="","",IF(W32&gt;=40,"Stable Orbit",IF(W32&gt;=15,"Controlled Orbit",IF(W32&gt;=-14,"Edge Orbit",IF(W32&gt;=-39,"Unstable Orbit","Critical Orbit")))))</f>
        <v/>
      </c>
      <c r="Y32" s="12" t="str">
        <f aca="false">IF($A32="","",INDEX('Deployment Gates'!$C$5:$C$9,MATCH(AH32,'Deployment Gates'!$A$5:$A$9,0)))</f>
        <v/>
      </c>
      <c r="Z32" s="3"/>
      <c r="AA32" s="12" t="str">
        <f aca="false">IF($A32="","",IF(OR(AH32="Edge Orbit",AH32="Unstable Orbit",AH32="Critical Orbit",H32&gt;=4,G32&gt;=4,E32&gt;=4,J32&gt;=4),"Yes","No"))</f>
        <v/>
      </c>
      <c r="AB32" s="12" t="str">
        <f aca="false">IF($A32="","",IF(W32&lt;0,"Yes","No"))</f>
        <v/>
      </c>
      <c r="AC32" s="12" t="str">
        <f aca="false">IF($A32="","",INDEX($L$4:$R$4,1,MATCH(MIN(L32:R32),L32:R32,0))&amp;IF(COUNTIF(L32:R32,MIN(L32:R32))&gt;1," (+"&amp;(COUNTIF(L32:R32,MIN(L32:R32))-1)&amp;" tied)",""))</f>
        <v/>
      </c>
      <c r="AD32" s="12" t="str">
        <f aca="false">IF($A32="","",INDEX($E$4:$K$4,1,MATCH(MAX(E32:K32),E32:K32,0))&amp;IF(COUNTIF(E32:K32,MAX(E32:K32))&gt;1," (+"&amp;(COUNTIF(E32:K32,MAX(E32:K32))-1)&amp;" tied)",""))</f>
        <v/>
      </c>
      <c r="AE32" s="12" t="str">
        <f aca="false">IF($A32="","",INDEX('Control Uplift Planner'!$B$5:$B$11,MATCH(INDEX($L$4:$R$4,1,MATCH(MIN(L32:R32),L32:R32,0)),'Control Uplift Planner'!$A$5:$A$11,0)))</f>
        <v/>
      </c>
      <c r="AF32" s="13" t="str">
        <f aca="false">IF($A32="","",IF(MIN(IF(AND(E32&gt;=4,H32&gt;=4),3,9),IF(AND(OR(C32="Governed Operations Zone",C32="Autonomous Operations Zone"),E32&gt;=3),IF(MIN(L32:N32)=0,2,IF(MIN(L32:N32)=1,3,9)),9),IF(AND(OR(C32="Governed Operations Zone",C32="Autonomous Operations Zone"),S32&lt;4),3,9))=9,"None",IF(MIN(IF(AND(E32&gt;=4,H32&gt;=4),3,9),IF(AND(OR(C32="Governed Operations Zone",C32="Autonomous Operations Zone"),E32&gt;=3),IF(MIN(L32:N32)=0,2,IF(MIN(L32:N32)=1,3,9)),9),IF(AND(OR(C32="Governed Operations Zone",C32="Autonomous Operations Zone"),S32&lt;4),3,9))=1,"Critical Orbit",IF(MIN(IF(AND(E32&gt;=4,H32&gt;=4),3,9),IF(AND(OR(C32="Governed Operations Zone",C32="Autonomous Operations Zone"),E32&gt;=3),IF(MIN(L32:N32)=0,2,IF(MIN(L32:N32)=1,3,9)),9),IF(AND(OR(C32="Governed Operations Zone",C32="Autonomous Operations Zone"),S32&lt;4),3,9))=2,"Unstable Orbit","Edge Orbit"))))</f>
        <v/>
      </c>
      <c r="AG32" s="14" t="str">
        <f aca="false">IF($A32="","",IF(IF(AND(E32&gt;=4,H32&gt;=4),"R1 concentrated force; ","")&amp;IF(AND(OR(C32="Governed Operations Zone",C32="Autonomous Operations Zone"),E32&gt;=3,MIN(L32:N32)&lt;=1),"R2 mandatory control "&amp;INDEX($L$4:$N$4,1,MATCH(MIN(L32:N32),L32:N32,0))&amp;"="&amp;MIN(L32:N32)&amp;"; ","")&amp;IF(AND(OR(C32="Governed Operations Zone",C32="Autonomous Operations Zone"),S32&lt;4),"R3 evidence tier "&amp;S32&amp;"&lt;4; ","")="","-",IF(AND(E32&gt;=4,H32&gt;=4),"R1 concentrated force; ","")&amp;IF(AND(OR(C32="Governed Operations Zone",C32="Autonomous Operations Zone"),E32&gt;=3,MIN(L32:N32)&lt;=1),"R2 mandatory control "&amp;INDEX($L$4:$N$4,1,MATCH(MIN(L32:N32),L32:N32,0))&amp;"="&amp;MIN(L32:N32)&amp;"; ","")&amp;IF(AND(OR(C32="Governed Operations Zone",C32="Autonomous Operations Zone"),S32&lt;4),"R3 evidence tier "&amp;S32&amp;"&lt;4; ","")))</f>
        <v/>
      </c>
      <c r="AH32" s="14" t="str">
        <f aca="false">IF($A32="","",IF(MIN(IF(X32="Critical Orbit",1,IF(X32="Unstable Orbit",2,IF(X32="Edge Orbit",3,IF(X32="Controlled Orbit",4,5)))),IF(AF32="None",9,IF(AF32="Critical Orbit",1,IF(AF32="Unstable Orbit",2,IF(AF32="Edge Orbit",3,IF(AF32="Controlled Orbit",4,5))))))=1,"Critical Orbit",IF(MIN(IF(X32="Critical Orbit",1,IF(X32="Unstable Orbit",2,IF(X32="Edge Orbit",3,IF(X32="Controlled Orbit",4,5)))),IF(AF32="None",9,IF(AF32="Critical Orbit",1,IF(AF32="Unstable Orbit",2,IF(AF32="Edge Orbit",3,IF(AF32="Controlled Orbit",4,5))))))=2,"Unstable Orbit",IF(MIN(IF(X32="Critical Orbit",1,IF(X32="Unstable Orbit",2,IF(X32="Edge Orbit",3,IF(X32="Controlled Orbit",4,5)))),IF(AF32="None",9,IF(AF32="Critical Orbit",1,IF(AF32="Unstable Orbit",2,IF(AF32="Edge Orbit",3,IF(AF32="Controlled Orbit",4,5))))))=3,"Edge Orbit",IF(MIN(IF(X32="Critical Orbit",1,IF(X32="Unstable Orbit",2,IF(X32="Edge Orbit",3,IF(X32="Controlled Orbit",4,5)))),IF(AF32="None",9,IF(AF32="Critical Orbit",1,IF(AF32="Unstable Orbit",2,IF(AF32="Edge Orbit",3,IF(AF32="Controlled Orbit",4,5))))))=4,"Controlled Orbit","Stable Orbit")))))</f>
        <v/>
      </c>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12" t="str">
        <f aca="false">IF($A33="","",IF(AND(MAX(L33:R33)&gt;3,S33&lt;3),"Warning: EGI &gt;3 needs Tier 3+ evidence",IF(AND(C33="Autonomous Operations Zone",S33&lt;4),"Warning: Autonomous zone needs Tier 4 evidence","OK")))</f>
        <v/>
      </c>
      <c r="U33" s="10" t="str">
        <f aca="false">IF($A33="","",IF($D33="Basic",SUM(E33:K33)/35*100,SUMPRODUCT(E33:K33,INDEX('Weighted Scoring'!$B$5:$H$13,MATCH($B33,'Weighted Scoring'!$A$5:$A$13,0),0))/SUMPRODUCT(5,INDEX('Weighted Scoring'!$B$5:$H$13,MATCH($B33,'Weighted Scoring'!$A$5:$A$13,0),0))*100))</f>
        <v/>
      </c>
      <c r="V33" s="10" t="str">
        <f aca="false">IF($A33="","",IF($D33="Basic",SUM(L33:R33)/35*100,SUMPRODUCT(L33:R33,INDEX('Weighted Scoring'!$I$5:$O$13,MATCH($B33,'Weighted Scoring'!$A$5:$A$13,0),0))/SUMPRODUCT(5,INDEX('Weighted Scoring'!$I$5:$O$13,MATCH($B33,'Weighted Scoring'!$A$5:$A$13,0),0))*100))</f>
        <v/>
      </c>
      <c r="W33" s="10" t="str">
        <f aca="false">IF($A33="","",V33-U33)</f>
        <v/>
      </c>
      <c r="X33" s="12" t="str">
        <f aca="false">IF($A33="","",IF(W33&gt;=40,"Stable Orbit",IF(W33&gt;=15,"Controlled Orbit",IF(W33&gt;=-14,"Edge Orbit",IF(W33&gt;=-39,"Unstable Orbit","Critical Orbit")))))</f>
        <v/>
      </c>
      <c r="Y33" s="12" t="str">
        <f aca="false">IF($A33="","",INDEX('Deployment Gates'!$C$5:$C$9,MATCH(AH33,'Deployment Gates'!$A$5:$A$9,0)))</f>
        <v/>
      </c>
      <c r="Z33" s="3"/>
      <c r="AA33" s="12" t="str">
        <f aca="false">IF($A33="","",IF(OR(AH33="Edge Orbit",AH33="Unstable Orbit",AH33="Critical Orbit",H33&gt;=4,G33&gt;=4,E33&gt;=4,J33&gt;=4),"Yes","No"))</f>
        <v/>
      </c>
      <c r="AB33" s="12" t="str">
        <f aca="false">IF($A33="","",IF(W33&lt;0,"Yes","No"))</f>
        <v/>
      </c>
      <c r="AC33" s="12" t="str">
        <f aca="false">IF($A33="","",INDEX($L$4:$R$4,1,MATCH(MIN(L33:R33),L33:R33,0))&amp;IF(COUNTIF(L33:R33,MIN(L33:R33))&gt;1," (+"&amp;(COUNTIF(L33:R33,MIN(L33:R33))-1)&amp;" tied)",""))</f>
        <v/>
      </c>
      <c r="AD33" s="12" t="str">
        <f aca="false">IF($A33="","",INDEX($E$4:$K$4,1,MATCH(MAX(E33:K33),E33:K33,0))&amp;IF(COUNTIF(E33:K33,MAX(E33:K33))&gt;1," (+"&amp;(COUNTIF(E33:K33,MAX(E33:K33))-1)&amp;" tied)",""))</f>
        <v/>
      </c>
      <c r="AE33" s="12" t="str">
        <f aca="false">IF($A33="","",INDEX('Control Uplift Planner'!$B$5:$B$11,MATCH(INDEX($L$4:$R$4,1,MATCH(MIN(L33:R33),L33:R33,0)),'Control Uplift Planner'!$A$5:$A$11,0)))</f>
        <v/>
      </c>
      <c r="AF33" s="13" t="str">
        <f aca="false">IF($A33="","",IF(MIN(IF(AND(E33&gt;=4,H33&gt;=4),3,9),IF(AND(OR(C33="Governed Operations Zone",C33="Autonomous Operations Zone"),E33&gt;=3),IF(MIN(L33:N33)=0,2,IF(MIN(L33:N33)=1,3,9)),9),IF(AND(OR(C33="Governed Operations Zone",C33="Autonomous Operations Zone"),S33&lt;4),3,9))=9,"None",IF(MIN(IF(AND(E33&gt;=4,H33&gt;=4),3,9),IF(AND(OR(C33="Governed Operations Zone",C33="Autonomous Operations Zone"),E33&gt;=3),IF(MIN(L33:N33)=0,2,IF(MIN(L33:N33)=1,3,9)),9),IF(AND(OR(C33="Governed Operations Zone",C33="Autonomous Operations Zone"),S33&lt;4),3,9))=1,"Critical Orbit",IF(MIN(IF(AND(E33&gt;=4,H33&gt;=4),3,9),IF(AND(OR(C33="Governed Operations Zone",C33="Autonomous Operations Zone"),E33&gt;=3),IF(MIN(L33:N33)=0,2,IF(MIN(L33:N33)=1,3,9)),9),IF(AND(OR(C33="Governed Operations Zone",C33="Autonomous Operations Zone"),S33&lt;4),3,9))=2,"Unstable Orbit","Edge Orbit"))))</f>
        <v/>
      </c>
      <c r="AG33" s="14" t="str">
        <f aca="false">IF($A33="","",IF(IF(AND(E33&gt;=4,H33&gt;=4),"R1 concentrated force; ","")&amp;IF(AND(OR(C33="Governed Operations Zone",C33="Autonomous Operations Zone"),E33&gt;=3,MIN(L33:N33)&lt;=1),"R2 mandatory control "&amp;INDEX($L$4:$N$4,1,MATCH(MIN(L33:N33),L33:N33,0))&amp;"="&amp;MIN(L33:N33)&amp;"; ","")&amp;IF(AND(OR(C33="Governed Operations Zone",C33="Autonomous Operations Zone"),S33&lt;4),"R3 evidence tier "&amp;S33&amp;"&lt;4; ","")="","-",IF(AND(E33&gt;=4,H33&gt;=4),"R1 concentrated force; ","")&amp;IF(AND(OR(C33="Governed Operations Zone",C33="Autonomous Operations Zone"),E33&gt;=3,MIN(L33:N33)&lt;=1),"R2 mandatory control "&amp;INDEX($L$4:$N$4,1,MATCH(MIN(L33:N33),L33:N33,0))&amp;"="&amp;MIN(L33:N33)&amp;"; ","")&amp;IF(AND(OR(C33="Governed Operations Zone",C33="Autonomous Operations Zone"),S33&lt;4),"R3 evidence tier "&amp;S33&amp;"&lt;4; ","")))</f>
        <v/>
      </c>
      <c r="AH33" s="14" t="str">
        <f aca="false">IF($A33="","",IF(MIN(IF(X33="Critical Orbit",1,IF(X33="Unstable Orbit",2,IF(X33="Edge Orbit",3,IF(X33="Controlled Orbit",4,5)))),IF(AF33="None",9,IF(AF33="Critical Orbit",1,IF(AF33="Unstable Orbit",2,IF(AF33="Edge Orbit",3,IF(AF33="Controlled Orbit",4,5))))))=1,"Critical Orbit",IF(MIN(IF(X33="Critical Orbit",1,IF(X33="Unstable Orbit",2,IF(X33="Edge Orbit",3,IF(X33="Controlled Orbit",4,5)))),IF(AF33="None",9,IF(AF33="Critical Orbit",1,IF(AF33="Unstable Orbit",2,IF(AF33="Edge Orbit",3,IF(AF33="Controlled Orbit",4,5))))))=2,"Unstable Orbit",IF(MIN(IF(X33="Critical Orbit",1,IF(X33="Unstable Orbit",2,IF(X33="Edge Orbit",3,IF(X33="Controlled Orbit",4,5)))),IF(AF33="None",9,IF(AF33="Critical Orbit",1,IF(AF33="Unstable Orbit",2,IF(AF33="Edge Orbit",3,IF(AF33="Controlled Orbit",4,5))))))=3,"Edge Orbit",IF(MIN(IF(X33="Critical Orbit",1,IF(X33="Unstable Orbit",2,IF(X33="Edge Orbit",3,IF(X33="Controlled Orbit",4,5)))),IF(AF33="None",9,IF(AF33="Critical Orbit",1,IF(AF33="Unstable Orbit",2,IF(AF33="Edge Orbit",3,IF(AF33="Controlled Orbit",4,5))))))=4,"Controlled Orbit","Stable Orbit")))))</f>
        <v/>
      </c>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12" t="str">
        <f aca="false">IF($A34="","",IF(AND(MAX(L34:R34)&gt;3,S34&lt;3),"Warning: EGI &gt;3 needs Tier 3+ evidence",IF(AND(C34="Autonomous Operations Zone",S34&lt;4),"Warning: Autonomous zone needs Tier 4 evidence","OK")))</f>
        <v/>
      </c>
      <c r="U34" s="10" t="str">
        <f aca="false">IF($A34="","",IF($D34="Basic",SUM(E34:K34)/35*100,SUMPRODUCT(E34:K34,INDEX('Weighted Scoring'!$B$5:$H$13,MATCH($B34,'Weighted Scoring'!$A$5:$A$13,0),0))/SUMPRODUCT(5,INDEX('Weighted Scoring'!$B$5:$H$13,MATCH($B34,'Weighted Scoring'!$A$5:$A$13,0),0))*100))</f>
        <v/>
      </c>
      <c r="V34" s="10" t="str">
        <f aca="false">IF($A34="","",IF($D34="Basic",SUM(L34:R34)/35*100,SUMPRODUCT(L34:R34,INDEX('Weighted Scoring'!$I$5:$O$13,MATCH($B34,'Weighted Scoring'!$A$5:$A$13,0),0))/SUMPRODUCT(5,INDEX('Weighted Scoring'!$I$5:$O$13,MATCH($B34,'Weighted Scoring'!$A$5:$A$13,0),0))*100))</f>
        <v/>
      </c>
      <c r="W34" s="10" t="str">
        <f aca="false">IF($A34="","",V34-U34)</f>
        <v/>
      </c>
      <c r="X34" s="12" t="str">
        <f aca="false">IF($A34="","",IF(W34&gt;=40,"Stable Orbit",IF(W34&gt;=15,"Controlled Orbit",IF(W34&gt;=-14,"Edge Orbit",IF(W34&gt;=-39,"Unstable Orbit","Critical Orbit")))))</f>
        <v/>
      </c>
      <c r="Y34" s="12" t="str">
        <f aca="false">IF($A34="","",INDEX('Deployment Gates'!$C$5:$C$9,MATCH(AH34,'Deployment Gates'!$A$5:$A$9,0)))</f>
        <v/>
      </c>
      <c r="Z34" s="3"/>
      <c r="AA34" s="12" t="str">
        <f aca="false">IF($A34="","",IF(OR(AH34="Edge Orbit",AH34="Unstable Orbit",AH34="Critical Orbit",H34&gt;=4,G34&gt;=4,E34&gt;=4,J34&gt;=4),"Yes","No"))</f>
        <v/>
      </c>
      <c r="AB34" s="12" t="str">
        <f aca="false">IF($A34="","",IF(W34&lt;0,"Yes","No"))</f>
        <v/>
      </c>
      <c r="AC34" s="12" t="str">
        <f aca="false">IF($A34="","",INDEX($L$4:$R$4,1,MATCH(MIN(L34:R34),L34:R34,0))&amp;IF(COUNTIF(L34:R34,MIN(L34:R34))&gt;1," (+"&amp;(COUNTIF(L34:R34,MIN(L34:R34))-1)&amp;" tied)",""))</f>
        <v/>
      </c>
      <c r="AD34" s="12" t="str">
        <f aca="false">IF($A34="","",INDEX($E$4:$K$4,1,MATCH(MAX(E34:K34),E34:K34,0))&amp;IF(COUNTIF(E34:K34,MAX(E34:K34))&gt;1," (+"&amp;(COUNTIF(E34:K34,MAX(E34:K34))-1)&amp;" tied)",""))</f>
        <v/>
      </c>
      <c r="AE34" s="12" t="str">
        <f aca="false">IF($A34="","",INDEX('Control Uplift Planner'!$B$5:$B$11,MATCH(INDEX($L$4:$R$4,1,MATCH(MIN(L34:R34),L34:R34,0)),'Control Uplift Planner'!$A$5:$A$11,0)))</f>
        <v/>
      </c>
      <c r="AF34" s="13" t="str">
        <f aca="false">IF($A34="","",IF(MIN(IF(AND(E34&gt;=4,H34&gt;=4),3,9),IF(AND(OR(C34="Governed Operations Zone",C34="Autonomous Operations Zone"),E34&gt;=3),IF(MIN(L34:N34)=0,2,IF(MIN(L34:N34)=1,3,9)),9),IF(AND(OR(C34="Governed Operations Zone",C34="Autonomous Operations Zone"),S34&lt;4),3,9))=9,"None",IF(MIN(IF(AND(E34&gt;=4,H34&gt;=4),3,9),IF(AND(OR(C34="Governed Operations Zone",C34="Autonomous Operations Zone"),E34&gt;=3),IF(MIN(L34:N34)=0,2,IF(MIN(L34:N34)=1,3,9)),9),IF(AND(OR(C34="Governed Operations Zone",C34="Autonomous Operations Zone"),S34&lt;4),3,9))=1,"Critical Orbit",IF(MIN(IF(AND(E34&gt;=4,H34&gt;=4),3,9),IF(AND(OR(C34="Governed Operations Zone",C34="Autonomous Operations Zone"),E34&gt;=3),IF(MIN(L34:N34)=0,2,IF(MIN(L34:N34)=1,3,9)),9),IF(AND(OR(C34="Governed Operations Zone",C34="Autonomous Operations Zone"),S34&lt;4),3,9))=2,"Unstable Orbit","Edge Orbit"))))</f>
        <v/>
      </c>
      <c r="AG34" s="14" t="str">
        <f aca="false">IF($A34="","",IF(IF(AND(E34&gt;=4,H34&gt;=4),"R1 concentrated force; ","")&amp;IF(AND(OR(C34="Governed Operations Zone",C34="Autonomous Operations Zone"),E34&gt;=3,MIN(L34:N34)&lt;=1),"R2 mandatory control "&amp;INDEX($L$4:$N$4,1,MATCH(MIN(L34:N34),L34:N34,0))&amp;"="&amp;MIN(L34:N34)&amp;"; ","")&amp;IF(AND(OR(C34="Governed Operations Zone",C34="Autonomous Operations Zone"),S34&lt;4),"R3 evidence tier "&amp;S34&amp;"&lt;4; ","")="","-",IF(AND(E34&gt;=4,H34&gt;=4),"R1 concentrated force; ","")&amp;IF(AND(OR(C34="Governed Operations Zone",C34="Autonomous Operations Zone"),E34&gt;=3,MIN(L34:N34)&lt;=1),"R2 mandatory control "&amp;INDEX($L$4:$N$4,1,MATCH(MIN(L34:N34),L34:N34,0))&amp;"="&amp;MIN(L34:N34)&amp;"; ","")&amp;IF(AND(OR(C34="Governed Operations Zone",C34="Autonomous Operations Zone"),S34&lt;4),"R3 evidence tier "&amp;S34&amp;"&lt;4; ","")))</f>
        <v/>
      </c>
      <c r="AH34" s="14" t="str">
        <f aca="false">IF($A34="","",IF(MIN(IF(X34="Critical Orbit",1,IF(X34="Unstable Orbit",2,IF(X34="Edge Orbit",3,IF(X34="Controlled Orbit",4,5)))),IF(AF34="None",9,IF(AF34="Critical Orbit",1,IF(AF34="Unstable Orbit",2,IF(AF34="Edge Orbit",3,IF(AF34="Controlled Orbit",4,5))))))=1,"Critical Orbit",IF(MIN(IF(X34="Critical Orbit",1,IF(X34="Unstable Orbit",2,IF(X34="Edge Orbit",3,IF(X34="Controlled Orbit",4,5)))),IF(AF34="None",9,IF(AF34="Critical Orbit",1,IF(AF34="Unstable Orbit",2,IF(AF34="Edge Orbit",3,IF(AF34="Controlled Orbit",4,5))))))=2,"Unstable Orbit",IF(MIN(IF(X34="Critical Orbit",1,IF(X34="Unstable Orbit",2,IF(X34="Edge Orbit",3,IF(X34="Controlled Orbit",4,5)))),IF(AF34="None",9,IF(AF34="Critical Orbit",1,IF(AF34="Unstable Orbit",2,IF(AF34="Edge Orbit",3,IF(AF34="Controlled Orbit",4,5))))))=3,"Edge Orbit",IF(MIN(IF(X34="Critical Orbit",1,IF(X34="Unstable Orbit",2,IF(X34="Edge Orbit",3,IF(X34="Controlled Orbit",4,5)))),IF(AF34="None",9,IF(AF34="Critical Orbit",1,IF(AF34="Unstable Orbit",2,IF(AF34="Edge Orbit",3,IF(AF34="Controlled Orbit",4,5))))))=4,"Controlled Orbit","Stable Orbit")))))</f>
        <v/>
      </c>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12" t="str">
        <f aca="false">IF($A35="","",IF(AND(MAX(L35:R35)&gt;3,S35&lt;3),"Warning: EGI &gt;3 needs Tier 3+ evidence",IF(AND(C35="Autonomous Operations Zone",S35&lt;4),"Warning: Autonomous zone needs Tier 4 evidence","OK")))</f>
        <v/>
      </c>
      <c r="U35" s="10" t="str">
        <f aca="false">IF($A35="","",IF($D35="Basic",SUM(E35:K35)/35*100,SUMPRODUCT(E35:K35,INDEX('Weighted Scoring'!$B$5:$H$13,MATCH($B35,'Weighted Scoring'!$A$5:$A$13,0),0))/SUMPRODUCT(5,INDEX('Weighted Scoring'!$B$5:$H$13,MATCH($B35,'Weighted Scoring'!$A$5:$A$13,0),0))*100))</f>
        <v/>
      </c>
      <c r="V35" s="10" t="str">
        <f aca="false">IF($A35="","",IF($D35="Basic",SUM(L35:R35)/35*100,SUMPRODUCT(L35:R35,INDEX('Weighted Scoring'!$I$5:$O$13,MATCH($B35,'Weighted Scoring'!$A$5:$A$13,0),0))/SUMPRODUCT(5,INDEX('Weighted Scoring'!$I$5:$O$13,MATCH($B35,'Weighted Scoring'!$A$5:$A$13,0),0))*100))</f>
        <v/>
      </c>
      <c r="W35" s="10" t="str">
        <f aca="false">IF($A35="","",V35-U35)</f>
        <v/>
      </c>
      <c r="X35" s="12" t="str">
        <f aca="false">IF($A35="","",IF(W35&gt;=40,"Stable Orbit",IF(W35&gt;=15,"Controlled Orbit",IF(W35&gt;=-14,"Edge Orbit",IF(W35&gt;=-39,"Unstable Orbit","Critical Orbit")))))</f>
        <v/>
      </c>
      <c r="Y35" s="12" t="str">
        <f aca="false">IF($A35="","",INDEX('Deployment Gates'!$C$5:$C$9,MATCH(AH35,'Deployment Gates'!$A$5:$A$9,0)))</f>
        <v/>
      </c>
      <c r="Z35" s="3"/>
      <c r="AA35" s="12" t="str">
        <f aca="false">IF($A35="","",IF(OR(AH35="Edge Orbit",AH35="Unstable Orbit",AH35="Critical Orbit",H35&gt;=4,G35&gt;=4,E35&gt;=4,J35&gt;=4),"Yes","No"))</f>
        <v/>
      </c>
      <c r="AB35" s="12" t="str">
        <f aca="false">IF($A35="","",IF(W35&lt;0,"Yes","No"))</f>
        <v/>
      </c>
      <c r="AC35" s="12" t="str">
        <f aca="false">IF($A35="","",INDEX($L$4:$R$4,1,MATCH(MIN(L35:R35),L35:R35,0))&amp;IF(COUNTIF(L35:R35,MIN(L35:R35))&gt;1," (+"&amp;(COUNTIF(L35:R35,MIN(L35:R35))-1)&amp;" tied)",""))</f>
        <v/>
      </c>
      <c r="AD35" s="12" t="str">
        <f aca="false">IF($A35="","",INDEX($E$4:$K$4,1,MATCH(MAX(E35:K35),E35:K35,0))&amp;IF(COUNTIF(E35:K35,MAX(E35:K35))&gt;1," (+"&amp;(COUNTIF(E35:K35,MAX(E35:K35))-1)&amp;" tied)",""))</f>
        <v/>
      </c>
      <c r="AE35" s="12" t="str">
        <f aca="false">IF($A35="","",INDEX('Control Uplift Planner'!$B$5:$B$11,MATCH(INDEX($L$4:$R$4,1,MATCH(MIN(L35:R35),L35:R35,0)),'Control Uplift Planner'!$A$5:$A$11,0)))</f>
        <v/>
      </c>
      <c r="AF35" s="13" t="str">
        <f aca="false">IF($A35="","",IF(MIN(IF(AND(E35&gt;=4,H35&gt;=4),3,9),IF(AND(OR(C35="Governed Operations Zone",C35="Autonomous Operations Zone"),E35&gt;=3),IF(MIN(L35:N35)=0,2,IF(MIN(L35:N35)=1,3,9)),9),IF(AND(OR(C35="Governed Operations Zone",C35="Autonomous Operations Zone"),S35&lt;4),3,9))=9,"None",IF(MIN(IF(AND(E35&gt;=4,H35&gt;=4),3,9),IF(AND(OR(C35="Governed Operations Zone",C35="Autonomous Operations Zone"),E35&gt;=3),IF(MIN(L35:N35)=0,2,IF(MIN(L35:N35)=1,3,9)),9),IF(AND(OR(C35="Governed Operations Zone",C35="Autonomous Operations Zone"),S35&lt;4),3,9))=1,"Critical Orbit",IF(MIN(IF(AND(E35&gt;=4,H35&gt;=4),3,9),IF(AND(OR(C35="Governed Operations Zone",C35="Autonomous Operations Zone"),E35&gt;=3),IF(MIN(L35:N35)=0,2,IF(MIN(L35:N35)=1,3,9)),9),IF(AND(OR(C35="Governed Operations Zone",C35="Autonomous Operations Zone"),S35&lt;4),3,9))=2,"Unstable Orbit","Edge Orbit"))))</f>
        <v/>
      </c>
      <c r="AG35" s="14" t="str">
        <f aca="false">IF($A35="","",IF(IF(AND(E35&gt;=4,H35&gt;=4),"R1 concentrated force; ","")&amp;IF(AND(OR(C35="Governed Operations Zone",C35="Autonomous Operations Zone"),E35&gt;=3,MIN(L35:N35)&lt;=1),"R2 mandatory control "&amp;INDEX($L$4:$N$4,1,MATCH(MIN(L35:N35),L35:N35,0))&amp;"="&amp;MIN(L35:N35)&amp;"; ","")&amp;IF(AND(OR(C35="Governed Operations Zone",C35="Autonomous Operations Zone"),S35&lt;4),"R3 evidence tier "&amp;S35&amp;"&lt;4; ","")="","-",IF(AND(E35&gt;=4,H35&gt;=4),"R1 concentrated force; ","")&amp;IF(AND(OR(C35="Governed Operations Zone",C35="Autonomous Operations Zone"),E35&gt;=3,MIN(L35:N35)&lt;=1),"R2 mandatory control "&amp;INDEX($L$4:$N$4,1,MATCH(MIN(L35:N35),L35:N35,0))&amp;"="&amp;MIN(L35:N35)&amp;"; ","")&amp;IF(AND(OR(C35="Governed Operations Zone",C35="Autonomous Operations Zone"),S35&lt;4),"R3 evidence tier "&amp;S35&amp;"&lt;4; ","")))</f>
        <v/>
      </c>
      <c r="AH35" s="14" t="str">
        <f aca="false">IF($A35="","",IF(MIN(IF(X35="Critical Orbit",1,IF(X35="Unstable Orbit",2,IF(X35="Edge Orbit",3,IF(X35="Controlled Orbit",4,5)))),IF(AF35="None",9,IF(AF35="Critical Orbit",1,IF(AF35="Unstable Orbit",2,IF(AF35="Edge Orbit",3,IF(AF35="Controlled Orbit",4,5))))))=1,"Critical Orbit",IF(MIN(IF(X35="Critical Orbit",1,IF(X35="Unstable Orbit",2,IF(X35="Edge Orbit",3,IF(X35="Controlled Orbit",4,5)))),IF(AF35="None",9,IF(AF35="Critical Orbit",1,IF(AF35="Unstable Orbit",2,IF(AF35="Edge Orbit",3,IF(AF35="Controlled Orbit",4,5))))))=2,"Unstable Orbit",IF(MIN(IF(X35="Critical Orbit",1,IF(X35="Unstable Orbit",2,IF(X35="Edge Orbit",3,IF(X35="Controlled Orbit",4,5)))),IF(AF35="None",9,IF(AF35="Critical Orbit",1,IF(AF35="Unstable Orbit",2,IF(AF35="Edge Orbit",3,IF(AF35="Controlled Orbit",4,5))))))=3,"Edge Orbit",IF(MIN(IF(X35="Critical Orbit",1,IF(X35="Unstable Orbit",2,IF(X35="Edge Orbit",3,IF(X35="Controlled Orbit",4,5)))),IF(AF35="None",9,IF(AF35="Critical Orbit",1,IF(AF35="Unstable Orbit",2,IF(AF35="Edge Orbit",3,IF(AF35="Controlled Orbit",4,5))))))=4,"Controlled Orbit","Stable Orbit")))))</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12" t="str">
        <f aca="false">IF($A36="","",IF(AND(MAX(L36:R36)&gt;3,S36&lt;3),"Warning: EGI &gt;3 needs Tier 3+ evidence",IF(AND(C36="Autonomous Operations Zone",S36&lt;4),"Warning: Autonomous zone needs Tier 4 evidence","OK")))</f>
        <v/>
      </c>
      <c r="U36" s="10" t="str">
        <f aca="false">IF($A36="","",IF($D36="Basic",SUM(E36:K36)/35*100,SUMPRODUCT(E36:K36,INDEX('Weighted Scoring'!$B$5:$H$13,MATCH($B36,'Weighted Scoring'!$A$5:$A$13,0),0))/SUMPRODUCT(5,INDEX('Weighted Scoring'!$B$5:$H$13,MATCH($B36,'Weighted Scoring'!$A$5:$A$13,0),0))*100))</f>
        <v/>
      </c>
      <c r="V36" s="10" t="str">
        <f aca="false">IF($A36="","",IF($D36="Basic",SUM(L36:R36)/35*100,SUMPRODUCT(L36:R36,INDEX('Weighted Scoring'!$I$5:$O$13,MATCH($B36,'Weighted Scoring'!$A$5:$A$13,0),0))/SUMPRODUCT(5,INDEX('Weighted Scoring'!$I$5:$O$13,MATCH($B36,'Weighted Scoring'!$A$5:$A$13,0),0))*100))</f>
        <v/>
      </c>
      <c r="W36" s="10" t="str">
        <f aca="false">IF($A36="","",V36-U36)</f>
        <v/>
      </c>
      <c r="X36" s="12" t="str">
        <f aca="false">IF($A36="","",IF(W36&gt;=40,"Stable Orbit",IF(W36&gt;=15,"Controlled Orbit",IF(W36&gt;=-14,"Edge Orbit",IF(W36&gt;=-39,"Unstable Orbit","Critical Orbit")))))</f>
        <v/>
      </c>
      <c r="Y36" s="12" t="str">
        <f aca="false">IF($A36="","",INDEX('Deployment Gates'!$C$5:$C$9,MATCH(AH36,'Deployment Gates'!$A$5:$A$9,0)))</f>
        <v/>
      </c>
      <c r="Z36" s="3"/>
      <c r="AA36" s="12" t="str">
        <f aca="false">IF($A36="","",IF(OR(AH36="Edge Orbit",AH36="Unstable Orbit",AH36="Critical Orbit",H36&gt;=4,G36&gt;=4,E36&gt;=4,J36&gt;=4),"Yes","No"))</f>
        <v/>
      </c>
      <c r="AB36" s="12" t="str">
        <f aca="false">IF($A36="","",IF(W36&lt;0,"Yes","No"))</f>
        <v/>
      </c>
      <c r="AC36" s="12" t="str">
        <f aca="false">IF($A36="","",INDEX($L$4:$R$4,1,MATCH(MIN(L36:R36),L36:R36,0))&amp;IF(COUNTIF(L36:R36,MIN(L36:R36))&gt;1," (+"&amp;(COUNTIF(L36:R36,MIN(L36:R36))-1)&amp;" tied)",""))</f>
        <v/>
      </c>
      <c r="AD36" s="12" t="str">
        <f aca="false">IF($A36="","",INDEX($E$4:$K$4,1,MATCH(MAX(E36:K36),E36:K36,0))&amp;IF(COUNTIF(E36:K36,MAX(E36:K36))&gt;1," (+"&amp;(COUNTIF(E36:K36,MAX(E36:K36))-1)&amp;" tied)",""))</f>
        <v/>
      </c>
      <c r="AE36" s="12" t="str">
        <f aca="false">IF($A36="","",INDEX('Control Uplift Planner'!$B$5:$B$11,MATCH(INDEX($L$4:$R$4,1,MATCH(MIN(L36:R36),L36:R36,0)),'Control Uplift Planner'!$A$5:$A$11,0)))</f>
        <v/>
      </c>
      <c r="AF36" s="13" t="str">
        <f aca="false">IF($A36="","",IF(MIN(IF(AND(E36&gt;=4,H36&gt;=4),3,9),IF(AND(OR(C36="Governed Operations Zone",C36="Autonomous Operations Zone"),E36&gt;=3),IF(MIN(L36:N36)=0,2,IF(MIN(L36:N36)=1,3,9)),9),IF(AND(OR(C36="Governed Operations Zone",C36="Autonomous Operations Zone"),S36&lt;4),3,9))=9,"None",IF(MIN(IF(AND(E36&gt;=4,H36&gt;=4),3,9),IF(AND(OR(C36="Governed Operations Zone",C36="Autonomous Operations Zone"),E36&gt;=3),IF(MIN(L36:N36)=0,2,IF(MIN(L36:N36)=1,3,9)),9),IF(AND(OR(C36="Governed Operations Zone",C36="Autonomous Operations Zone"),S36&lt;4),3,9))=1,"Critical Orbit",IF(MIN(IF(AND(E36&gt;=4,H36&gt;=4),3,9),IF(AND(OR(C36="Governed Operations Zone",C36="Autonomous Operations Zone"),E36&gt;=3),IF(MIN(L36:N36)=0,2,IF(MIN(L36:N36)=1,3,9)),9),IF(AND(OR(C36="Governed Operations Zone",C36="Autonomous Operations Zone"),S36&lt;4),3,9))=2,"Unstable Orbit","Edge Orbit"))))</f>
        <v/>
      </c>
      <c r="AG36" s="14" t="str">
        <f aca="false">IF($A36="","",IF(IF(AND(E36&gt;=4,H36&gt;=4),"R1 concentrated force; ","")&amp;IF(AND(OR(C36="Governed Operations Zone",C36="Autonomous Operations Zone"),E36&gt;=3,MIN(L36:N36)&lt;=1),"R2 mandatory control "&amp;INDEX($L$4:$N$4,1,MATCH(MIN(L36:N36),L36:N36,0))&amp;"="&amp;MIN(L36:N36)&amp;"; ","")&amp;IF(AND(OR(C36="Governed Operations Zone",C36="Autonomous Operations Zone"),S36&lt;4),"R3 evidence tier "&amp;S36&amp;"&lt;4; ","")="","-",IF(AND(E36&gt;=4,H36&gt;=4),"R1 concentrated force; ","")&amp;IF(AND(OR(C36="Governed Operations Zone",C36="Autonomous Operations Zone"),E36&gt;=3,MIN(L36:N36)&lt;=1),"R2 mandatory control "&amp;INDEX($L$4:$N$4,1,MATCH(MIN(L36:N36),L36:N36,0))&amp;"="&amp;MIN(L36:N36)&amp;"; ","")&amp;IF(AND(OR(C36="Governed Operations Zone",C36="Autonomous Operations Zone"),S36&lt;4),"R3 evidence tier "&amp;S36&amp;"&lt;4; ","")))</f>
        <v/>
      </c>
      <c r="AH36" s="14" t="str">
        <f aca="false">IF($A36="","",IF(MIN(IF(X36="Critical Orbit",1,IF(X36="Unstable Orbit",2,IF(X36="Edge Orbit",3,IF(X36="Controlled Orbit",4,5)))),IF(AF36="None",9,IF(AF36="Critical Orbit",1,IF(AF36="Unstable Orbit",2,IF(AF36="Edge Orbit",3,IF(AF36="Controlled Orbit",4,5))))))=1,"Critical Orbit",IF(MIN(IF(X36="Critical Orbit",1,IF(X36="Unstable Orbit",2,IF(X36="Edge Orbit",3,IF(X36="Controlled Orbit",4,5)))),IF(AF36="None",9,IF(AF36="Critical Orbit",1,IF(AF36="Unstable Orbit",2,IF(AF36="Edge Orbit",3,IF(AF36="Controlled Orbit",4,5))))))=2,"Unstable Orbit",IF(MIN(IF(X36="Critical Orbit",1,IF(X36="Unstable Orbit",2,IF(X36="Edge Orbit",3,IF(X36="Controlled Orbit",4,5)))),IF(AF36="None",9,IF(AF36="Critical Orbit",1,IF(AF36="Unstable Orbit",2,IF(AF36="Edge Orbit",3,IF(AF36="Controlled Orbit",4,5))))))=3,"Edge Orbit",IF(MIN(IF(X36="Critical Orbit",1,IF(X36="Unstable Orbit",2,IF(X36="Edge Orbit",3,IF(X36="Controlled Orbit",4,5)))),IF(AF36="None",9,IF(AF36="Critical Orbit",1,IF(AF36="Unstable Orbit",2,IF(AF36="Edge Orbit",3,IF(AF36="Controlled Orbit",4,5))))))=4,"Controlled Orbit","Stable Orbit")))))</f>
        <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12" t="str">
        <f aca="false">IF($A37="","",IF(AND(MAX(L37:R37)&gt;3,S37&lt;3),"Warning: EGI &gt;3 needs Tier 3+ evidence",IF(AND(C37="Autonomous Operations Zone",S37&lt;4),"Warning: Autonomous zone needs Tier 4 evidence","OK")))</f>
        <v/>
      </c>
      <c r="U37" s="10" t="str">
        <f aca="false">IF($A37="","",IF($D37="Basic",SUM(E37:K37)/35*100,SUMPRODUCT(E37:K37,INDEX('Weighted Scoring'!$B$5:$H$13,MATCH($B37,'Weighted Scoring'!$A$5:$A$13,0),0))/SUMPRODUCT(5,INDEX('Weighted Scoring'!$B$5:$H$13,MATCH($B37,'Weighted Scoring'!$A$5:$A$13,0),0))*100))</f>
        <v/>
      </c>
      <c r="V37" s="10" t="str">
        <f aca="false">IF($A37="","",IF($D37="Basic",SUM(L37:R37)/35*100,SUMPRODUCT(L37:R37,INDEX('Weighted Scoring'!$I$5:$O$13,MATCH($B37,'Weighted Scoring'!$A$5:$A$13,0),0))/SUMPRODUCT(5,INDEX('Weighted Scoring'!$I$5:$O$13,MATCH($B37,'Weighted Scoring'!$A$5:$A$13,0),0))*100))</f>
        <v/>
      </c>
      <c r="W37" s="10" t="str">
        <f aca="false">IF($A37="","",V37-U37)</f>
        <v/>
      </c>
      <c r="X37" s="12" t="str">
        <f aca="false">IF($A37="","",IF(W37&gt;=40,"Stable Orbit",IF(W37&gt;=15,"Controlled Orbit",IF(W37&gt;=-14,"Edge Orbit",IF(W37&gt;=-39,"Unstable Orbit","Critical Orbit")))))</f>
        <v/>
      </c>
      <c r="Y37" s="12" t="str">
        <f aca="false">IF($A37="","",INDEX('Deployment Gates'!$C$5:$C$9,MATCH(AH37,'Deployment Gates'!$A$5:$A$9,0)))</f>
        <v/>
      </c>
      <c r="Z37" s="3"/>
      <c r="AA37" s="12" t="str">
        <f aca="false">IF($A37="","",IF(OR(AH37="Edge Orbit",AH37="Unstable Orbit",AH37="Critical Orbit",H37&gt;=4,G37&gt;=4,E37&gt;=4,J37&gt;=4),"Yes","No"))</f>
        <v/>
      </c>
      <c r="AB37" s="12" t="str">
        <f aca="false">IF($A37="","",IF(W37&lt;0,"Yes","No"))</f>
        <v/>
      </c>
      <c r="AC37" s="12" t="str">
        <f aca="false">IF($A37="","",INDEX($L$4:$R$4,1,MATCH(MIN(L37:R37),L37:R37,0))&amp;IF(COUNTIF(L37:R37,MIN(L37:R37))&gt;1," (+"&amp;(COUNTIF(L37:R37,MIN(L37:R37))-1)&amp;" tied)",""))</f>
        <v/>
      </c>
      <c r="AD37" s="12" t="str">
        <f aca="false">IF($A37="","",INDEX($E$4:$K$4,1,MATCH(MAX(E37:K37),E37:K37,0))&amp;IF(COUNTIF(E37:K37,MAX(E37:K37))&gt;1," (+"&amp;(COUNTIF(E37:K37,MAX(E37:K37))-1)&amp;" tied)",""))</f>
        <v/>
      </c>
      <c r="AE37" s="12" t="str">
        <f aca="false">IF($A37="","",INDEX('Control Uplift Planner'!$B$5:$B$11,MATCH(INDEX($L$4:$R$4,1,MATCH(MIN(L37:R37),L37:R37,0)),'Control Uplift Planner'!$A$5:$A$11,0)))</f>
        <v/>
      </c>
      <c r="AF37" s="13" t="str">
        <f aca="false">IF($A37="","",IF(MIN(IF(AND(E37&gt;=4,H37&gt;=4),3,9),IF(AND(OR(C37="Governed Operations Zone",C37="Autonomous Operations Zone"),E37&gt;=3),IF(MIN(L37:N37)=0,2,IF(MIN(L37:N37)=1,3,9)),9),IF(AND(OR(C37="Governed Operations Zone",C37="Autonomous Operations Zone"),S37&lt;4),3,9))=9,"None",IF(MIN(IF(AND(E37&gt;=4,H37&gt;=4),3,9),IF(AND(OR(C37="Governed Operations Zone",C37="Autonomous Operations Zone"),E37&gt;=3),IF(MIN(L37:N37)=0,2,IF(MIN(L37:N37)=1,3,9)),9),IF(AND(OR(C37="Governed Operations Zone",C37="Autonomous Operations Zone"),S37&lt;4),3,9))=1,"Critical Orbit",IF(MIN(IF(AND(E37&gt;=4,H37&gt;=4),3,9),IF(AND(OR(C37="Governed Operations Zone",C37="Autonomous Operations Zone"),E37&gt;=3),IF(MIN(L37:N37)=0,2,IF(MIN(L37:N37)=1,3,9)),9),IF(AND(OR(C37="Governed Operations Zone",C37="Autonomous Operations Zone"),S37&lt;4),3,9))=2,"Unstable Orbit","Edge Orbit"))))</f>
        <v/>
      </c>
      <c r="AG37" s="14" t="str">
        <f aca="false">IF($A37="","",IF(IF(AND(E37&gt;=4,H37&gt;=4),"R1 concentrated force; ","")&amp;IF(AND(OR(C37="Governed Operations Zone",C37="Autonomous Operations Zone"),E37&gt;=3,MIN(L37:N37)&lt;=1),"R2 mandatory control "&amp;INDEX($L$4:$N$4,1,MATCH(MIN(L37:N37),L37:N37,0))&amp;"="&amp;MIN(L37:N37)&amp;"; ","")&amp;IF(AND(OR(C37="Governed Operations Zone",C37="Autonomous Operations Zone"),S37&lt;4),"R3 evidence tier "&amp;S37&amp;"&lt;4; ","")="","-",IF(AND(E37&gt;=4,H37&gt;=4),"R1 concentrated force; ","")&amp;IF(AND(OR(C37="Governed Operations Zone",C37="Autonomous Operations Zone"),E37&gt;=3,MIN(L37:N37)&lt;=1),"R2 mandatory control "&amp;INDEX($L$4:$N$4,1,MATCH(MIN(L37:N37),L37:N37,0))&amp;"="&amp;MIN(L37:N37)&amp;"; ","")&amp;IF(AND(OR(C37="Governed Operations Zone",C37="Autonomous Operations Zone"),S37&lt;4),"R3 evidence tier "&amp;S37&amp;"&lt;4; ","")))</f>
        <v/>
      </c>
      <c r="AH37" s="14" t="str">
        <f aca="false">IF($A37="","",IF(MIN(IF(X37="Critical Orbit",1,IF(X37="Unstable Orbit",2,IF(X37="Edge Orbit",3,IF(X37="Controlled Orbit",4,5)))),IF(AF37="None",9,IF(AF37="Critical Orbit",1,IF(AF37="Unstable Orbit",2,IF(AF37="Edge Orbit",3,IF(AF37="Controlled Orbit",4,5))))))=1,"Critical Orbit",IF(MIN(IF(X37="Critical Orbit",1,IF(X37="Unstable Orbit",2,IF(X37="Edge Orbit",3,IF(X37="Controlled Orbit",4,5)))),IF(AF37="None",9,IF(AF37="Critical Orbit",1,IF(AF37="Unstable Orbit",2,IF(AF37="Edge Orbit",3,IF(AF37="Controlled Orbit",4,5))))))=2,"Unstable Orbit",IF(MIN(IF(X37="Critical Orbit",1,IF(X37="Unstable Orbit",2,IF(X37="Edge Orbit",3,IF(X37="Controlled Orbit",4,5)))),IF(AF37="None",9,IF(AF37="Critical Orbit",1,IF(AF37="Unstable Orbit",2,IF(AF37="Edge Orbit",3,IF(AF37="Controlled Orbit",4,5))))))=3,"Edge Orbit",IF(MIN(IF(X37="Critical Orbit",1,IF(X37="Unstable Orbit",2,IF(X37="Edge Orbit",3,IF(X37="Controlled Orbit",4,5)))),IF(AF37="None",9,IF(AF37="Critical Orbit",1,IF(AF37="Unstable Orbit",2,IF(AF37="Edge Orbit",3,IF(AF37="Controlled Orbit",4,5))))))=4,"Controlled Orbit","Stable Orbit")))))</f>
        <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12" t="str">
        <f aca="false">IF($A38="","",IF(AND(MAX(L38:R38)&gt;3,S38&lt;3),"Warning: EGI &gt;3 needs Tier 3+ evidence",IF(AND(C38="Autonomous Operations Zone",S38&lt;4),"Warning: Autonomous zone needs Tier 4 evidence","OK")))</f>
        <v/>
      </c>
      <c r="U38" s="10" t="str">
        <f aca="false">IF($A38="","",IF($D38="Basic",SUM(E38:K38)/35*100,SUMPRODUCT(E38:K38,INDEX('Weighted Scoring'!$B$5:$H$13,MATCH($B38,'Weighted Scoring'!$A$5:$A$13,0),0))/SUMPRODUCT(5,INDEX('Weighted Scoring'!$B$5:$H$13,MATCH($B38,'Weighted Scoring'!$A$5:$A$13,0),0))*100))</f>
        <v/>
      </c>
      <c r="V38" s="10" t="str">
        <f aca="false">IF($A38="","",IF($D38="Basic",SUM(L38:R38)/35*100,SUMPRODUCT(L38:R38,INDEX('Weighted Scoring'!$I$5:$O$13,MATCH($B38,'Weighted Scoring'!$A$5:$A$13,0),0))/SUMPRODUCT(5,INDEX('Weighted Scoring'!$I$5:$O$13,MATCH($B38,'Weighted Scoring'!$A$5:$A$13,0),0))*100))</f>
        <v/>
      </c>
      <c r="W38" s="10" t="str">
        <f aca="false">IF($A38="","",V38-U38)</f>
        <v/>
      </c>
      <c r="X38" s="12" t="str">
        <f aca="false">IF($A38="","",IF(W38&gt;=40,"Stable Orbit",IF(W38&gt;=15,"Controlled Orbit",IF(W38&gt;=-14,"Edge Orbit",IF(W38&gt;=-39,"Unstable Orbit","Critical Orbit")))))</f>
        <v/>
      </c>
      <c r="Y38" s="12" t="str">
        <f aca="false">IF($A38="","",INDEX('Deployment Gates'!$C$5:$C$9,MATCH(AH38,'Deployment Gates'!$A$5:$A$9,0)))</f>
        <v/>
      </c>
      <c r="Z38" s="3"/>
      <c r="AA38" s="12" t="str">
        <f aca="false">IF($A38="","",IF(OR(AH38="Edge Orbit",AH38="Unstable Orbit",AH38="Critical Orbit",H38&gt;=4,G38&gt;=4,E38&gt;=4,J38&gt;=4),"Yes","No"))</f>
        <v/>
      </c>
      <c r="AB38" s="12" t="str">
        <f aca="false">IF($A38="","",IF(W38&lt;0,"Yes","No"))</f>
        <v/>
      </c>
      <c r="AC38" s="12" t="str">
        <f aca="false">IF($A38="","",INDEX($L$4:$R$4,1,MATCH(MIN(L38:R38),L38:R38,0))&amp;IF(COUNTIF(L38:R38,MIN(L38:R38))&gt;1," (+"&amp;(COUNTIF(L38:R38,MIN(L38:R38))-1)&amp;" tied)",""))</f>
        <v/>
      </c>
      <c r="AD38" s="12" t="str">
        <f aca="false">IF($A38="","",INDEX($E$4:$K$4,1,MATCH(MAX(E38:K38),E38:K38,0))&amp;IF(COUNTIF(E38:K38,MAX(E38:K38))&gt;1," (+"&amp;(COUNTIF(E38:K38,MAX(E38:K38))-1)&amp;" tied)",""))</f>
        <v/>
      </c>
      <c r="AE38" s="12" t="str">
        <f aca="false">IF($A38="","",INDEX('Control Uplift Planner'!$B$5:$B$11,MATCH(INDEX($L$4:$R$4,1,MATCH(MIN(L38:R38),L38:R38,0)),'Control Uplift Planner'!$A$5:$A$11,0)))</f>
        <v/>
      </c>
      <c r="AF38" s="13" t="str">
        <f aca="false">IF($A38="","",IF(MIN(IF(AND(E38&gt;=4,H38&gt;=4),3,9),IF(AND(OR(C38="Governed Operations Zone",C38="Autonomous Operations Zone"),E38&gt;=3),IF(MIN(L38:N38)=0,2,IF(MIN(L38:N38)=1,3,9)),9),IF(AND(OR(C38="Governed Operations Zone",C38="Autonomous Operations Zone"),S38&lt;4),3,9))=9,"None",IF(MIN(IF(AND(E38&gt;=4,H38&gt;=4),3,9),IF(AND(OR(C38="Governed Operations Zone",C38="Autonomous Operations Zone"),E38&gt;=3),IF(MIN(L38:N38)=0,2,IF(MIN(L38:N38)=1,3,9)),9),IF(AND(OR(C38="Governed Operations Zone",C38="Autonomous Operations Zone"),S38&lt;4),3,9))=1,"Critical Orbit",IF(MIN(IF(AND(E38&gt;=4,H38&gt;=4),3,9),IF(AND(OR(C38="Governed Operations Zone",C38="Autonomous Operations Zone"),E38&gt;=3),IF(MIN(L38:N38)=0,2,IF(MIN(L38:N38)=1,3,9)),9),IF(AND(OR(C38="Governed Operations Zone",C38="Autonomous Operations Zone"),S38&lt;4),3,9))=2,"Unstable Orbit","Edge Orbit"))))</f>
        <v/>
      </c>
      <c r="AG38" s="14" t="str">
        <f aca="false">IF($A38="","",IF(IF(AND(E38&gt;=4,H38&gt;=4),"R1 concentrated force; ","")&amp;IF(AND(OR(C38="Governed Operations Zone",C38="Autonomous Operations Zone"),E38&gt;=3,MIN(L38:N38)&lt;=1),"R2 mandatory control "&amp;INDEX($L$4:$N$4,1,MATCH(MIN(L38:N38),L38:N38,0))&amp;"="&amp;MIN(L38:N38)&amp;"; ","")&amp;IF(AND(OR(C38="Governed Operations Zone",C38="Autonomous Operations Zone"),S38&lt;4),"R3 evidence tier "&amp;S38&amp;"&lt;4; ","")="","-",IF(AND(E38&gt;=4,H38&gt;=4),"R1 concentrated force; ","")&amp;IF(AND(OR(C38="Governed Operations Zone",C38="Autonomous Operations Zone"),E38&gt;=3,MIN(L38:N38)&lt;=1),"R2 mandatory control "&amp;INDEX($L$4:$N$4,1,MATCH(MIN(L38:N38),L38:N38,0))&amp;"="&amp;MIN(L38:N38)&amp;"; ","")&amp;IF(AND(OR(C38="Governed Operations Zone",C38="Autonomous Operations Zone"),S38&lt;4),"R3 evidence tier "&amp;S38&amp;"&lt;4; ","")))</f>
        <v/>
      </c>
      <c r="AH38" s="14" t="str">
        <f aca="false">IF($A38="","",IF(MIN(IF(X38="Critical Orbit",1,IF(X38="Unstable Orbit",2,IF(X38="Edge Orbit",3,IF(X38="Controlled Orbit",4,5)))),IF(AF38="None",9,IF(AF38="Critical Orbit",1,IF(AF38="Unstable Orbit",2,IF(AF38="Edge Orbit",3,IF(AF38="Controlled Orbit",4,5))))))=1,"Critical Orbit",IF(MIN(IF(X38="Critical Orbit",1,IF(X38="Unstable Orbit",2,IF(X38="Edge Orbit",3,IF(X38="Controlled Orbit",4,5)))),IF(AF38="None",9,IF(AF38="Critical Orbit",1,IF(AF38="Unstable Orbit",2,IF(AF38="Edge Orbit",3,IF(AF38="Controlled Orbit",4,5))))))=2,"Unstable Orbit",IF(MIN(IF(X38="Critical Orbit",1,IF(X38="Unstable Orbit",2,IF(X38="Edge Orbit",3,IF(X38="Controlled Orbit",4,5)))),IF(AF38="None",9,IF(AF38="Critical Orbit",1,IF(AF38="Unstable Orbit",2,IF(AF38="Edge Orbit",3,IF(AF38="Controlled Orbit",4,5))))))=3,"Edge Orbit",IF(MIN(IF(X38="Critical Orbit",1,IF(X38="Unstable Orbit",2,IF(X38="Edge Orbit",3,IF(X38="Controlled Orbit",4,5)))),IF(AF38="None",9,IF(AF38="Critical Orbit",1,IF(AF38="Unstable Orbit",2,IF(AF38="Edge Orbit",3,IF(AF38="Controlled Orbit",4,5))))))=4,"Controlled Orbit","Stable Orbit")))))</f>
        <v/>
      </c>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12" t="str">
        <f aca="false">IF($A39="","",IF(AND(MAX(L39:R39)&gt;3,S39&lt;3),"Warning: EGI &gt;3 needs Tier 3+ evidence",IF(AND(C39="Autonomous Operations Zone",S39&lt;4),"Warning: Autonomous zone needs Tier 4 evidence","OK")))</f>
        <v/>
      </c>
      <c r="U39" s="10" t="str">
        <f aca="false">IF($A39="","",IF($D39="Basic",SUM(E39:K39)/35*100,SUMPRODUCT(E39:K39,INDEX('Weighted Scoring'!$B$5:$H$13,MATCH($B39,'Weighted Scoring'!$A$5:$A$13,0),0))/SUMPRODUCT(5,INDEX('Weighted Scoring'!$B$5:$H$13,MATCH($B39,'Weighted Scoring'!$A$5:$A$13,0),0))*100))</f>
        <v/>
      </c>
      <c r="V39" s="10" t="str">
        <f aca="false">IF($A39="","",IF($D39="Basic",SUM(L39:R39)/35*100,SUMPRODUCT(L39:R39,INDEX('Weighted Scoring'!$I$5:$O$13,MATCH($B39,'Weighted Scoring'!$A$5:$A$13,0),0))/SUMPRODUCT(5,INDEX('Weighted Scoring'!$I$5:$O$13,MATCH($B39,'Weighted Scoring'!$A$5:$A$13,0),0))*100))</f>
        <v/>
      </c>
      <c r="W39" s="10" t="str">
        <f aca="false">IF($A39="","",V39-U39)</f>
        <v/>
      </c>
      <c r="X39" s="12" t="str">
        <f aca="false">IF($A39="","",IF(W39&gt;=40,"Stable Orbit",IF(W39&gt;=15,"Controlled Orbit",IF(W39&gt;=-14,"Edge Orbit",IF(W39&gt;=-39,"Unstable Orbit","Critical Orbit")))))</f>
        <v/>
      </c>
      <c r="Y39" s="12" t="str">
        <f aca="false">IF($A39="","",INDEX('Deployment Gates'!$C$5:$C$9,MATCH(AH39,'Deployment Gates'!$A$5:$A$9,0)))</f>
        <v/>
      </c>
      <c r="Z39" s="3"/>
      <c r="AA39" s="12" t="str">
        <f aca="false">IF($A39="","",IF(OR(AH39="Edge Orbit",AH39="Unstable Orbit",AH39="Critical Orbit",H39&gt;=4,G39&gt;=4,E39&gt;=4,J39&gt;=4),"Yes","No"))</f>
        <v/>
      </c>
      <c r="AB39" s="12" t="str">
        <f aca="false">IF($A39="","",IF(W39&lt;0,"Yes","No"))</f>
        <v/>
      </c>
      <c r="AC39" s="12" t="str">
        <f aca="false">IF($A39="","",INDEX($L$4:$R$4,1,MATCH(MIN(L39:R39),L39:R39,0))&amp;IF(COUNTIF(L39:R39,MIN(L39:R39))&gt;1," (+"&amp;(COUNTIF(L39:R39,MIN(L39:R39))-1)&amp;" tied)",""))</f>
        <v/>
      </c>
      <c r="AD39" s="12" t="str">
        <f aca="false">IF($A39="","",INDEX($E$4:$K$4,1,MATCH(MAX(E39:K39),E39:K39,0))&amp;IF(COUNTIF(E39:K39,MAX(E39:K39))&gt;1," (+"&amp;(COUNTIF(E39:K39,MAX(E39:K39))-1)&amp;" tied)",""))</f>
        <v/>
      </c>
      <c r="AE39" s="12" t="str">
        <f aca="false">IF($A39="","",INDEX('Control Uplift Planner'!$B$5:$B$11,MATCH(INDEX($L$4:$R$4,1,MATCH(MIN(L39:R39),L39:R39,0)),'Control Uplift Planner'!$A$5:$A$11,0)))</f>
        <v/>
      </c>
      <c r="AF39" s="13" t="str">
        <f aca="false">IF($A39="","",IF(MIN(IF(AND(E39&gt;=4,H39&gt;=4),3,9),IF(AND(OR(C39="Governed Operations Zone",C39="Autonomous Operations Zone"),E39&gt;=3),IF(MIN(L39:N39)=0,2,IF(MIN(L39:N39)=1,3,9)),9),IF(AND(OR(C39="Governed Operations Zone",C39="Autonomous Operations Zone"),S39&lt;4),3,9))=9,"None",IF(MIN(IF(AND(E39&gt;=4,H39&gt;=4),3,9),IF(AND(OR(C39="Governed Operations Zone",C39="Autonomous Operations Zone"),E39&gt;=3),IF(MIN(L39:N39)=0,2,IF(MIN(L39:N39)=1,3,9)),9),IF(AND(OR(C39="Governed Operations Zone",C39="Autonomous Operations Zone"),S39&lt;4),3,9))=1,"Critical Orbit",IF(MIN(IF(AND(E39&gt;=4,H39&gt;=4),3,9),IF(AND(OR(C39="Governed Operations Zone",C39="Autonomous Operations Zone"),E39&gt;=3),IF(MIN(L39:N39)=0,2,IF(MIN(L39:N39)=1,3,9)),9),IF(AND(OR(C39="Governed Operations Zone",C39="Autonomous Operations Zone"),S39&lt;4),3,9))=2,"Unstable Orbit","Edge Orbit"))))</f>
        <v/>
      </c>
      <c r="AG39" s="14" t="str">
        <f aca="false">IF($A39="","",IF(IF(AND(E39&gt;=4,H39&gt;=4),"R1 concentrated force; ","")&amp;IF(AND(OR(C39="Governed Operations Zone",C39="Autonomous Operations Zone"),E39&gt;=3,MIN(L39:N39)&lt;=1),"R2 mandatory control "&amp;INDEX($L$4:$N$4,1,MATCH(MIN(L39:N39),L39:N39,0))&amp;"="&amp;MIN(L39:N39)&amp;"; ","")&amp;IF(AND(OR(C39="Governed Operations Zone",C39="Autonomous Operations Zone"),S39&lt;4),"R3 evidence tier "&amp;S39&amp;"&lt;4; ","")="","-",IF(AND(E39&gt;=4,H39&gt;=4),"R1 concentrated force; ","")&amp;IF(AND(OR(C39="Governed Operations Zone",C39="Autonomous Operations Zone"),E39&gt;=3,MIN(L39:N39)&lt;=1),"R2 mandatory control "&amp;INDEX($L$4:$N$4,1,MATCH(MIN(L39:N39),L39:N39,0))&amp;"="&amp;MIN(L39:N39)&amp;"; ","")&amp;IF(AND(OR(C39="Governed Operations Zone",C39="Autonomous Operations Zone"),S39&lt;4),"R3 evidence tier "&amp;S39&amp;"&lt;4; ","")))</f>
        <v/>
      </c>
      <c r="AH39" s="14" t="str">
        <f aca="false">IF($A39="","",IF(MIN(IF(X39="Critical Orbit",1,IF(X39="Unstable Orbit",2,IF(X39="Edge Orbit",3,IF(X39="Controlled Orbit",4,5)))),IF(AF39="None",9,IF(AF39="Critical Orbit",1,IF(AF39="Unstable Orbit",2,IF(AF39="Edge Orbit",3,IF(AF39="Controlled Orbit",4,5))))))=1,"Critical Orbit",IF(MIN(IF(X39="Critical Orbit",1,IF(X39="Unstable Orbit",2,IF(X39="Edge Orbit",3,IF(X39="Controlled Orbit",4,5)))),IF(AF39="None",9,IF(AF39="Critical Orbit",1,IF(AF39="Unstable Orbit",2,IF(AF39="Edge Orbit",3,IF(AF39="Controlled Orbit",4,5))))))=2,"Unstable Orbit",IF(MIN(IF(X39="Critical Orbit",1,IF(X39="Unstable Orbit",2,IF(X39="Edge Orbit",3,IF(X39="Controlled Orbit",4,5)))),IF(AF39="None",9,IF(AF39="Critical Orbit",1,IF(AF39="Unstable Orbit",2,IF(AF39="Edge Orbit",3,IF(AF39="Controlled Orbit",4,5))))))=3,"Edge Orbit",IF(MIN(IF(X39="Critical Orbit",1,IF(X39="Unstable Orbit",2,IF(X39="Edge Orbit",3,IF(X39="Controlled Orbit",4,5)))),IF(AF39="None",9,IF(AF39="Critical Orbit",1,IF(AF39="Unstable Orbit",2,IF(AF39="Edge Orbit",3,IF(AF39="Controlled Orbit",4,5))))))=4,"Controlled Orbit","Stable Orbit")))))</f>
        <v/>
      </c>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12" t="str">
        <f aca="false">IF($A40="","",IF(AND(MAX(L40:R40)&gt;3,S40&lt;3),"Warning: EGI &gt;3 needs Tier 3+ evidence",IF(AND(C40="Autonomous Operations Zone",S40&lt;4),"Warning: Autonomous zone needs Tier 4 evidence","OK")))</f>
        <v/>
      </c>
      <c r="U40" s="10" t="str">
        <f aca="false">IF($A40="","",IF($D40="Basic",SUM(E40:K40)/35*100,SUMPRODUCT(E40:K40,INDEX('Weighted Scoring'!$B$5:$H$13,MATCH($B40,'Weighted Scoring'!$A$5:$A$13,0),0))/SUMPRODUCT(5,INDEX('Weighted Scoring'!$B$5:$H$13,MATCH($B40,'Weighted Scoring'!$A$5:$A$13,0),0))*100))</f>
        <v/>
      </c>
      <c r="V40" s="10" t="str">
        <f aca="false">IF($A40="","",IF($D40="Basic",SUM(L40:R40)/35*100,SUMPRODUCT(L40:R40,INDEX('Weighted Scoring'!$I$5:$O$13,MATCH($B40,'Weighted Scoring'!$A$5:$A$13,0),0))/SUMPRODUCT(5,INDEX('Weighted Scoring'!$I$5:$O$13,MATCH($B40,'Weighted Scoring'!$A$5:$A$13,0),0))*100))</f>
        <v/>
      </c>
      <c r="W40" s="10" t="str">
        <f aca="false">IF($A40="","",V40-U40)</f>
        <v/>
      </c>
      <c r="X40" s="12" t="str">
        <f aca="false">IF($A40="","",IF(W40&gt;=40,"Stable Orbit",IF(W40&gt;=15,"Controlled Orbit",IF(W40&gt;=-14,"Edge Orbit",IF(W40&gt;=-39,"Unstable Orbit","Critical Orbit")))))</f>
        <v/>
      </c>
      <c r="Y40" s="12" t="str">
        <f aca="false">IF($A40="","",INDEX('Deployment Gates'!$C$5:$C$9,MATCH(AH40,'Deployment Gates'!$A$5:$A$9,0)))</f>
        <v/>
      </c>
      <c r="Z40" s="3"/>
      <c r="AA40" s="12" t="str">
        <f aca="false">IF($A40="","",IF(OR(AH40="Edge Orbit",AH40="Unstable Orbit",AH40="Critical Orbit",H40&gt;=4,G40&gt;=4,E40&gt;=4,J40&gt;=4),"Yes","No"))</f>
        <v/>
      </c>
      <c r="AB40" s="12" t="str">
        <f aca="false">IF($A40="","",IF(W40&lt;0,"Yes","No"))</f>
        <v/>
      </c>
      <c r="AC40" s="12" t="str">
        <f aca="false">IF($A40="","",INDEX($L$4:$R$4,1,MATCH(MIN(L40:R40),L40:R40,0))&amp;IF(COUNTIF(L40:R40,MIN(L40:R40))&gt;1," (+"&amp;(COUNTIF(L40:R40,MIN(L40:R40))-1)&amp;" tied)",""))</f>
        <v/>
      </c>
      <c r="AD40" s="12" t="str">
        <f aca="false">IF($A40="","",INDEX($E$4:$K$4,1,MATCH(MAX(E40:K40),E40:K40,0))&amp;IF(COUNTIF(E40:K40,MAX(E40:K40))&gt;1," (+"&amp;(COUNTIF(E40:K40,MAX(E40:K40))-1)&amp;" tied)",""))</f>
        <v/>
      </c>
      <c r="AE40" s="12" t="str">
        <f aca="false">IF($A40="","",INDEX('Control Uplift Planner'!$B$5:$B$11,MATCH(INDEX($L$4:$R$4,1,MATCH(MIN(L40:R40),L40:R40,0)),'Control Uplift Planner'!$A$5:$A$11,0)))</f>
        <v/>
      </c>
      <c r="AF40" s="13" t="str">
        <f aca="false">IF($A40="","",IF(MIN(IF(AND(E40&gt;=4,H40&gt;=4),3,9),IF(AND(OR(C40="Governed Operations Zone",C40="Autonomous Operations Zone"),E40&gt;=3),IF(MIN(L40:N40)=0,2,IF(MIN(L40:N40)=1,3,9)),9),IF(AND(OR(C40="Governed Operations Zone",C40="Autonomous Operations Zone"),S40&lt;4),3,9))=9,"None",IF(MIN(IF(AND(E40&gt;=4,H40&gt;=4),3,9),IF(AND(OR(C40="Governed Operations Zone",C40="Autonomous Operations Zone"),E40&gt;=3),IF(MIN(L40:N40)=0,2,IF(MIN(L40:N40)=1,3,9)),9),IF(AND(OR(C40="Governed Operations Zone",C40="Autonomous Operations Zone"),S40&lt;4),3,9))=1,"Critical Orbit",IF(MIN(IF(AND(E40&gt;=4,H40&gt;=4),3,9),IF(AND(OR(C40="Governed Operations Zone",C40="Autonomous Operations Zone"),E40&gt;=3),IF(MIN(L40:N40)=0,2,IF(MIN(L40:N40)=1,3,9)),9),IF(AND(OR(C40="Governed Operations Zone",C40="Autonomous Operations Zone"),S40&lt;4),3,9))=2,"Unstable Orbit","Edge Orbit"))))</f>
        <v/>
      </c>
      <c r="AG40" s="14" t="str">
        <f aca="false">IF($A40="","",IF(IF(AND(E40&gt;=4,H40&gt;=4),"R1 concentrated force; ","")&amp;IF(AND(OR(C40="Governed Operations Zone",C40="Autonomous Operations Zone"),E40&gt;=3,MIN(L40:N40)&lt;=1),"R2 mandatory control "&amp;INDEX($L$4:$N$4,1,MATCH(MIN(L40:N40),L40:N40,0))&amp;"="&amp;MIN(L40:N40)&amp;"; ","")&amp;IF(AND(OR(C40="Governed Operations Zone",C40="Autonomous Operations Zone"),S40&lt;4),"R3 evidence tier "&amp;S40&amp;"&lt;4; ","")="","-",IF(AND(E40&gt;=4,H40&gt;=4),"R1 concentrated force; ","")&amp;IF(AND(OR(C40="Governed Operations Zone",C40="Autonomous Operations Zone"),E40&gt;=3,MIN(L40:N40)&lt;=1),"R2 mandatory control "&amp;INDEX($L$4:$N$4,1,MATCH(MIN(L40:N40),L40:N40,0))&amp;"="&amp;MIN(L40:N40)&amp;"; ","")&amp;IF(AND(OR(C40="Governed Operations Zone",C40="Autonomous Operations Zone"),S40&lt;4),"R3 evidence tier "&amp;S40&amp;"&lt;4; ","")))</f>
        <v/>
      </c>
      <c r="AH40" s="14" t="str">
        <f aca="false">IF($A40="","",IF(MIN(IF(X40="Critical Orbit",1,IF(X40="Unstable Orbit",2,IF(X40="Edge Orbit",3,IF(X40="Controlled Orbit",4,5)))),IF(AF40="None",9,IF(AF40="Critical Orbit",1,IF(AF40="Unstable Orbit",2,IF(AF40="Edge Orbit",3,IF(AF40="Controlled Orbit",4,5))))))=1,"Critical Orbit",IF(MIN(IF(X40="Critical Orbit",1,IF(X40="Unstable Orbit",2,IF(X40="Edge Orbit",3,IF(X40="Controlled Orbit",4,5)))),IF(AF40="None",9,IF(AF40="Critical Orbit",1,IF(AF40="Unstable Orbit",2,IF(AF40="Edge Orbit",3,IF(AF40="Controlled Orbit",4,5))))))=2,"Unstable Orbit",IF(MIN(IF(X40="Critical Orbit",1,IF(X40="Unstable Orbit",2,IF(X40="Edge Orbit",3,IF(X40="Controlled Orbit",4,5)))),IF(AF40="None",9,IF(AF40="Critical Orbit",1,IF(AF40="Unstable Orbit",2,IF(AF40="Edge Orbit",3,IF(AF40="Controlled Orbit",4,5))))))=3,"Edge Orbit",IF(MIN(IF(X40="Critical Orbit",1,IF(X40="Unstable Orbit",2,IF(X40="Edge Orbit",3,IF(X40="Controlled Orbit",4,5)))),IF(AF40="None",9,IF(AF40="Critical Orbit",1,IF(AF40="Unstable Orbit",2,IF(AF40="Edge Orbit",3,IF(AF40="Controlled Orbit",4,5))))))=4,"Controlled Orbit","Stable Orbit")))))</f>
        <v/>
      </c>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12" t="str">
        <f aca="false">IF($A41="","",IF(AND(MAX(L41:R41)&gt;3,S41&lt;3),"Warning: EGI &gt;3 needs Tier 3+ evidence",IF(AND(C41="Autonomous Operations Zone",S41&lt;4),"Warning: Autonomous zone needs Tier 4 evidence","OK")))</f>
        <v/>
      </c>
      <c r="U41" s="10" t="str">
        <f aca="false">IF($A41="","",IF($D41="Basic",SUM(E41:K41)/35*100,SUMPRODUCT(E41:K41,INDEX('Weighted Scoring'!$B$5:$H$13,MATCH($B41,'Weighted Scoring'!$A$5:$A$13,0),0))/SUMPRODUCT(5,INDEX('Weighted Scoring'!$B$5:$H$13,MATCH($B41,'Weighted Scoring'!$A$5:$A$13,0),0))*100))</f>
        <v/>
      </c>
      <c r="V41" s="10" t="str">
        <f aca="false">IF($A41="","",IF($D41="Basic",SUM(L41:R41)/35*100,SUMPRODUCT(L41:R41,INDEX('Weighted Scoring'!$I$5:$O$13,MATCH($B41,'Weighted Scoring'!$A$5:$A$13,0),0))/SUMPRODUCT(5,INDEX('Weighted Scoring'!$I$5:$O$13,MATCH($B41,'Weighted Scoring'!$A$5:$A$13,0),0))*100))</f>
        <v/>
      </c>
      <c r="W41" s="10" t="str">
        <f aca="false">IF($A41="","",V41-U41)</f>
        <v/>
      </c>
      <c r="X41" s="12" t="str">
        <f aca="false">IF($A41="","",IF(W41&gt;=40,"Stable Orbit",IF(W41&gt;=15,"Controlled Orbit",IF(W41&gt;=-14,"Edge Orbit",IF(W41&gt;=-39,"Unstable Orbit","Critical Orbit")))))</f>
        <v/>
      </c>
      <c r="Y41" s="12" t="str">
        <f aca="false">IF($A41="","",INDEX('Deployment Gates'!$C$5:$C$9,MATCH(AH41,'Deployment Gates'!$A$5:$A$9,0)))</f>
        <v/>
      </c>
      <c r="Z41" s="3"/>
      <c r="AA41" s="12" t="str">
        <f aca="false">IF($A41="","",IF(OR(AH41="Edge Orbit",AH41="Unstable Orbit",AH41="Critical Orbit",H41&gt;=4,G41&gt;=4,E41&gt;=4,J41&gt;=4),"Yes","No"))</f>
        <v/>
      </c>
      <c r="AB41" s="12" t="str">
        <f aca="false">IF($A41="","",IF(W41&lt;0,"Yes","No"))</f>
        <v/>
      </c>
      <c r="AC41" s="12" t="str">
        <f aca="false">IF($A41="","",INDEX($L$4:$R$4,1,MATCH(MIN(L41:R41),L41:R41,0))&amp;IF(COUNTIF(L41:R41,MIN(L41:R41))&gt;1," (+"&amp;(COUNTIF(L41:R41,MIN(L41:R41))-1)&amp;" tied)",""))</f>
        <v/>
      </c>
      <c r="AD41" s="12" t="str">
        <f aca="false">IF($A41="","",INDEX($E$4:$K$4,1,MATCH(MAX(E41:K41),E41:K41,0))&amp;IF(COUNTIF(E41:K41,MAX(E41:K41))&gt;1," (+"&amp;(COUNTIF(E41:K41,MAX(E41:K41))-1)&amp;" tied)",""))</f>
        <v/>
      </c>
      <c r="AE41" s="12" t="str">
        <f aca="false">IF($A41="","",INDEX('Control Uplift Planner'!$B$5:$B$11,MATCH(INDEX($L$4:$R$4,1,MATCH(MIN(L41:R41),L41:R41,0)),'Control Uplift Planner'!$A$5:$A$11,0)))</f>
        <v/>
      </c>
      <c r="AF41" s="13" t="str">
        <f aca="false">IF($A41="","",IF(MIN(IF(AND(E41&gt;=4,H41&gt;=4),3,9),IF(AND(OR(C41="Governed Operations Zone",C41="Autonomous Operations Zone"),E41&gt;=3),IF(MIN(L41:N41)=0,2,IF(MIN(L41:N41)=1,3,9)),9),IF(AND(OR(C41="Governed Operations Zone",C41="Autonomous Operations Zone"),S41&lt;4),3,9))=9,"None",IF(MIN(IF(AND(E41&gt;=4,H41&gt;=4),3,9),IF(AND(OR(C41="Governed Operations Zone",C41="Autonomous Operations Zone"),E41&gt;=3),IF(MIN(L41:N41)=0,2,IF(MIN(L41:N41)=1,3,9)),9),IF(AND(OR(C41="Governed Operations Zone",C41="Autonomous Operations Zone"),S41&lt;4),3,9))=1,"Critical Orbit",IF(MIN(IF(AND(E41&gt;=4,H41&gt;=4),3,9),IF(AND(OR(C41="Governed Operations Zone",C41="Autonomous Operations Zone"),E41&gt;=3),IF(MIN(L41:N41)=0,2,IF(MIN(L41:N41)=1,3,9)),9),IF(AND(OR(C41="Governed Operations Zone",C41="Autonomous Operations Zone"),S41&lt;4),3,9))=2,"Unstable Orbit","Edge Orbit"))))</f>
        <v/>
      </c>
      <c r="AG41" s="14" t="str">
        <f aca="false">IF($A41="","",IF(IF(AND(E41&gt;=4,H41&gt;=4),"R1 concentrated force; ","")&amp;IF(AND(OR(C41="Governed Operations Zone",C41="Autonomous Operations Zone"),E41&gt;=3,MIN(L41:N41)&lt;=1),"R2 mandatory control "&amp;INDEX($L$4:$N$4,1,MATCH(MIN(L41:N41),L41:N41,0))&amp;"="&amp;MIN(L41:N41)&amp;"; ","")&amp;IF(AND(OR(C41="Governed Operations Zone",C41="Autonomous Operations Zone"),S41&lt;4),"R3 evidence tier "&amp;S41&amp;"&lt;4; ","")="","-",IF(AND(E41&gt;=4,H41&gt;=4),"R1 concentrated force; ","")&amp;IF(AND(OR(C41="Governed Operations Zone",C41="Autonomous Operations Zone"),E41&gt;=3,MIN(L41:N41)&lt;=1),"R2 mandatory control "&amp;INDEX($L$4:$N$4,1,MATCH(MIN(L41:N41),L41:N41,0))&amp;"="&amp;MIN(L41:N41)&amp;"; ","")&amp;IF(AND(OR(C41="Governed Operations Zone",C41="Autonomous Operations Zone"),S41&lt;4),"R3 evidence tier "&amp;S41&amp;"&lt;4; ","")))</f>
        <v/>
      </c>
      <c r="AH41" s="14" t="str">
        <f aca="false">IF($A41="","",IF(MIN(IF(X41="Critical Orbit",1,IF(X41="Unstable Orbit",2,IF(X41="Edge Orbit",3,IF(X41="Controlled Orbit",4,5)))),IF(AF41="None",9,IF(AF41="Critical Orbit",1,IF(AF41="Unstable Orbit",2,IF(AF41="Edge Orbit",3,IF(AF41="Controlled Orbit",4,5))))))=1,"Critical Orbit",IF(MIN(IF(X41="Critical Orbit",1,IF(X41="Unstable Orbit",2,IF(X41="Edge Orbit",3,IF(X41="Controlled Orbit",4,5)))),IF(AF41="None",9,IF(AF41="Critical Orbit",1,IF(AF41="Unstable Orbit",2,IF(AF41="Edge Orbit",3,IF(AF41="Controlled Orbit",4,5))))))=2,"Unstable Orbit",IF(MIN(IF(X41="Critical Orbit",1,IF(X41="Unstable Orbit",2,IF(X41="Edge Orbit",3,IF(X41="Controlled Orbit",4,5)))),IF(AF41="None",9,IF(AF41="Critical Orbit",1,IF(AF41="Unstable Orbit",2,IF(AF41="Edge Orbit",3,IF(AF41="Controlled Orbit",4,5))))))=3,"Edge Orbit",IF(MIN(IF(X41="Critical Orbit",1,IF(X41="Unstable Orbit",2,IF(X41="Edge Orbit",3,IF(X41="Controlled Orbit",4,5)))),IF(AF41="None",9,IF(AF41="Critical Orbit",1,IF(AF41="Unstable Orbit",2,IF(AF41="Edge Orbit",3,IF(AF41="Controlled Orbit",4,5))))))=4,"Controlled Orbit","Stable Orbit")))))</f>
        <v/>
      </c>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12" t="str">
        <f aca="false">IF($A42="","",IF(AND(MAX(L42:R42)&gt;3,S42&lt;3),"Warning: EGI &gt;3 needs Tier 3+ evidence",IF(AND(C42="Autonomous Operations Zone",S42&lt;4),"Warning: Autonomous zone needs Tier 4 evidence","OK")))</f>
        <v/>
      </c>
      <c r="U42" s="10" t="str">
        <f aca="false">IF($A42="","",IF($D42="Basic",SUM(E42:K42)/35*100,SUMPRODUCT(E42:K42,INDEX('Weighted Scoring'!$B$5:$H$13,MATCH($B42,'Weighted Scoring'!$A$5:$A$13,0),0))/SUMPRODUCT(5,INDEX('Weighted Scoring'!$B$5:$H$13,MATCH($B42,'Weighted Scoring'!$A$5:$A$13,0),0))*100))</f>
        <v/>
      </c>
      <c r="V42" s="10" t="str">
        <f aca="false">IF($A42="","",IF($D42="Basic",SUM(L42:R42)/35*100,SUMPRODUCT(L42:R42,INDEX('Weighted Scoring'!$I$5:$O$13,MATCH($B42,'Weighted Scoring'!$A$5:$A$13,0),0))/SUMPRODUCT(5,INDEX('Weighted Scoring'!$I$5:$O$13,MATCH($B42,'Weighted Scoring'!$A$5:$A$13,0),0))*100))</f>
        <v/>
      </c>
      <c r="W42" s="10" t="str">
        <f aca="false">IF($A42="","",V42-U42)</f>
        <v/>
      </c>
      <c r="X42" s="12" t="str">
        <f aca="false">IF($A42="","",IF(W42&gt;=40,"Stable Orbit",IF(W42&gt;=15,"Controlled Orbit",IF(W42&gt;=-14,"Edge Orbit",IF(W42&gt;=-39,"Unstable Orbit","Critical Orbit")))))</f>
        <v/>
      </c>
      <c r="Y42" s="12" t="str">
        <f aca="false">IF($A42="","",INDEX('Deployment Gates'!$C$5:$C$9,MATCH(AH42,'Deployment Gates'!$A$5:$A$9,0)))</f>
        <v/>
      </c>
      <c r="Z42" s="3"/>
      <c r="AA42" s="12" t="str">
        <f aca="false">IF($A42="","",IF(OR(AH42="Edge Orbit",AH42="Unstable Orbit",AH42="Critical Orbit",H42&gt;=4,G42&gt;=4,E42&gt;=4,J42&gt;=4),"Yes","No"))</f>
        <v/>
      </c>
      <c r="AB42" s="12" t="str">
        <f aca="false">IF($A42="","",IF(W42&lt;0,"Yes","No"))</f>
        <v/>
      </c>
      <c r="AC42" s="12" t="str">
        <f aca="false">IF($A42="","",INDEX($L$4:$R$4,1,MATCH(MIN(L42:R42),L42:R42,0))&amp;IF(COUNTIF(L42:R42,MIN(L42:R42))&gt;1," (+"&amp;(COUNTIF(L42:R42,MIN(L42:R42))-1)&amp;" tied)",""))</f>
        <v/>
      </c>
      <c r="AD42" s="12" t="str">
        <f aca="false">IF($A42="","",INDEX($E$4:$K$4,1,MATCH(MAX(E42:K42),E42:K42,0))&amp;IF(COUNTIF(E42:K42,MAX(E42:K42))&gt;1," (+"&amp;(COUNTIF(E42:K42,MAX(E42:K42))-1)&amp;" tied)",""))</f>
        <v/>
      </c>
      <c r="AE42" s="12" t="str">
        <f aca="false">IF($A42="","",INDEX('Control Uplift Planner'!$B$5:$B$11,MATCH(INDEX($L$4:$R$4,1,MATCH(MIN(L42:R42),L42:R42,0)),'Control Uplift Planner'!$A$5:$A$11,0)))</f>
        <v/>
      </c>
      <c r="AF42" s="13" t="str">
        <f aca="false">IF($A42="","",IF(MIN(IF(AND(E42&gt;=4,H42&gt;=4),3,9),IF(AND(OR(C42="Governed Operations Zone",C42="Autonomous Operations Zone"),E42&gt;=3),IF(MIN(L42:N42)=0,2,IF(MIN(L42:N42)=1,3,9)),9),IF(AND(OR(C42="Governed Operations Zone",C42="Autonomous Operations Zone"),S42&lt;4),3,9))=9,"None",IF(MIN(IF(AND(E42&gt;=4,H42&gt;=4),3,9),IF(AND(OR(C42="Governed Operations Zone",C42="Autonomous Operations Zone"),E42&gt;=3),IF(MIN(L42:N42)=0,2,IF(MIN(L42:N42)=1,3,9)),9),IF(AND(OR(C42="Governed Operations Zone",C42="Autonomous Operations Zone"),S42&lt;4),3,9))=1,"Critical Orbit",IF(MIN(IF(AND(E42&gt;=4,H42&gt;=4),3,9),IF(AND(OR(C42="Governed Operations Zone",C42="Autonomous Operations Zone"),E42&gt;=3),IF(MIN(L42:N42)=0,2,IF(MIN(L42:N42)=1,3,9)),9),IF(AND(OR(C42="Governed Operations Zone",C42="Autonomous Operations Zone"),S42&lt;4),3,9))=2,"Unstable Orbit","Edge Orbit"))))</f>
        <v/>
      </c>
      <c r="AG42" s="14" t="str">
        <f aca="false">IF($A42="","",IF(IF(AND(E42&gt;=4,H42&gt;=4),"R1 concentrated force; ","")&amp;IF(AND(OR(C42="Governed Operations Zone",C42="Autonomous Operations Zone"),E42&gt;=3,MIN(L42:N42)&lt;=1),"R2 mandatory control "&amp;INDEX($L$4:$N$4,1,MATCH(MIN(L42:N42),L42:N42,0))&amp;"="&amp;MIN(L42:N42)&amp;"; ","")&amp;IF(AND(OR(C42="Governed Operations Zone",C42="Autonomous Operations Zone"),S42&lt;4),"R3 evidence tier "&amp;S42&amp;"&lt;4; ","")="","-",IF(AND(E42&gt;=4,H42&gt;=4),"R1 concentrated force; ","")&amp;IF(AND(OR(C42="Governed Operations Zone",C42="Autonomous Operations Zone"),E42&gt;=3,MIN(L42:N42)&lt;=1),"R2 mandatory control "&amp;INDEX($L$4:$N$4,1,MATCH(MIN(L42:N42),L42:N42,0))&amp;"="&amp;MIN(L42:N42)&amp;"; ","")&amp;IF(AND(OR(C42="Governed Operations Zone",C42="Autonomous Operations Zone"),S42&lt;4),"R3 evidence tier "&amp;S42&amp;"&lt;4; ","")))</f>
        <v/>
      </c>
      <c r="AH42" s="14" t="str">
        <f aca="false">IF($A42="","",IF(MIN(IF(X42="Critical Orbit",1,IF(X42="Unstable Orbit",2,IF(X42="Edge Orbit",3,IF(X42="Controlled Orbit",4,5)))),IF(AF42="None",9,IF(AF42="Critical Orbit",1,IF(AF42="Unstable Orbit",2,IF(AF42="Edge Orbit",3,IF(AF42="Controlled Orbit",4,5))))))=1,"Critical Orbit",IF(MIN(IF(X42="Critical Orbit",1,IF(X42="Unstable Orbit",2,IF(X42="Edge Orbit",3,IF(X42="Controlled Orbit",4,5)))),IF(AF42="None",9,IF(AF42="Critical Orbit",1,IF(AF42="Unstable Orbit",2,IF(AF42="Edge Orbit",3,IF(AF42="Controlled Orbit",4,5))))))=2,"Unstable Orbit",IF(MIN(IF(X42="Critical Orbit",1,IF(X42="Unstable Orbit",2,IF(X42="Edge Orbit",3,IF(X42="Controlled Orbit",4,5)))),IF(AF42="None",9,IF(AF42="Critical Orbit",1,IF(AF42="Unstable Orbit",2,IF(AF42="Edge Orbit",3,IF(AF42="Controlled Orbit",4,5))))))=3,"Edge Orbit",IF(MIN(IF(X42="Critical Orbit",1,IF(X42="Unstable Orbit",2,IF(X42="Edge Orbit",3,IF(X42="Controlled Orbit",4,5)))),IF(AF42="None",9,IF(AF42="Critical Orbit",1,IF(AF42="Unstable Orbit",2,IF(AF42="Edge Orbit",3,IF(AF42="Controlled Orbit",4,5))))))=4,"Controlled Orbit","Stable Orbit")))))</f>
        <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12" t="str">
        <f aca="false">IF($A43="","",IF(AND(MAX(L43:R43)&gt;3,S43&lt;3),"Warning: EGI &gt;3 needs Tier 3+ evidence",IF(AND(C43="Autonomous Operations Zone",S43&lt;4),"Warning: Autonomous zone needs Tier 4 evidence","OK")))</f>
        <v/>
      </c>
      <c r="U43" s="10" t="str">
        <f aca="false">IF($A43="","",IF($D43="Basic",SUM(E43:K43)/35*100,SUMPRODUCT(E43:K43,INDEX('Weighted Scoring'!$B$5:$H$13,MATCH($B43,'Weighted Scoring'!$A$5:$A$13,0),0))/SUMPRODUCT(5,INDEX('Weighted Scoring'!$B$5:$H$13,MATCH($B43,'Weighted Scoring'!$A$5:$A$13,0),0))*100))</f>
        <v/>
      </c>
      <c r="V43" s="10" t="str">
        <f aca="false">IF($A43="","",IF($D43="Basic",SUM(L43:R43)/35*100,SUMPRODUCT(L43:R43,INDEX('Weighted Scoring'!$I$5:$O$13,MATCH($B43,'Weighted Scoring'!$A$5:$A$13,0),0))/SUMPRODUCT(5,INDEX('Weighted Scoring'!$I$5:$O$13,MATCH($B43,'Weighted Scoring'!$A$5:$A$13,0),0))*100))</f>
        <v/>
      </c>
      <c r="W43" s="10" t="str">
        <f aca="false">IF($A43="","",V43-U43)</f>
        <v/>
      </c>
      <c r="X43" s="12" t="str">
        <f aca="false">IF($A43="","",IF(W43&gt;=40,"Stable Orbit",IF(W43&gt;=15,"Controlled Orbit",IF(W43&gt;=-14,"Edge Orbit",IF(W43&gt;=-39,"Unstable Orbit","Critical Orbit")))))</f>
        <v/>
      </c>
      <c r="Y43" s="12" t="str">
        <f aca="false">IF($A43="","",INDEX('Deployment Gates'!$C$5:$C$9,MATCH(AH43,'Deployment Gates'!$A$5:$A$9,0)))</f>
        <v/>
      </c>
      <c r="Z43" s="3"/>
      <c r="AA43" s="12" t="str">
        <f aca="false">IF($A43="","",IF(OR(AH43="Edge Orbit",AH43="Unstable Orbit",AH43="Critical Orbit",H43&gt;=4,G43&gt;=4,E43&gt;=4,J43&gt;=4),"Yes","No"))</f>
        <v/>
      </c>
      <c r="AB43" s="12" t="str">
        <f aca="false">IF($A43="","",IF(W43&lt;0,"Yes","No"))</f>
        <v/>
      </c>
      <c r="AC43" s="12" t="str">
        <f aca="false">IF($A43="","",INDEX($L$4:$R$4,1,MATCH(MIN(L43:R43),L43:R43,0))&amp;IF(COUNTIF(L43:R43,MIN(L43:R43))&gt;1," (+"&amp;(COUNTIF(L43:R43,MIN(L43:R43))-1)&amp;" tied)",""))</f>
        <v/>
      </c>
      <c r="AD43" s="12" t="str">
        <f aca="false">IF($A43="","",INDEX($E$4:$K$4,1,MATCH(MAX(E43:K43),E43:K43,0))&amp;IF(COUNTIF(E43:K43,MAX(E43:K43))&gt;1," (+"&amp;(COUNTIF(E43:K43,MAX(E43:K43))-1)&amp;" tied)",""))</f>
        <v/>
      </c>
      <c r="AE43" s="12" t="str">
        <f aca="false">IF($A43="","",INDEX('Control Uplift Planner'!$B$5:$B$11,MATCH(INDEX($L$4:$R$4,1,MATCH(MIN(L43:R43),L43:R43,0)),'Control Uplift Planner'!$A$5:$A$11,0)))</f>
        <v/>
      </c>
      <c r="AF43" s="13" t="str">
        <f aca="false">IF($A43="","",IF(MIN(IF(AND(E43&gt;=4,H43&gt;=4),3,9),IF(AND(OR(C43="Governed Operations Zone",C43="Autonomous Operations Zone"),E43&gt;=3),IF(MIN(L43:N43)=0,2,IF(MIN(L43:N43)=1,3,9)),9),IF(AND(OR(C43="Governed Operations Zone",C43="Autonomous Operations Zone"),S43&lt;4),3,9))=9,"None",IF(MIN(IF(AND(E43&gt;=4,H43&gt;=4),3,9),IF(AND(OR(C43="Governed Operations Zone",C43="Autonomous Operations Zone"),E43&gt;=3),IF(MIN(L43:N43)=0,2,IF(MIN(L43:N43)=1,3,9)),9),IF(AND(OR(C43="Governed Operations Zone",C43="Autonomous Operations Zone"),S43&lt;4),3,9))=1,"Critical Orbit",IF(MIN(IF(AND(E43&gt;=4,H43&gt;=4),3,9),IF(AND(OR(C43="Governed Operations Zone",C43="Autonomous Operations Zone"),E43&gt;=3),IF(MIN(L43:N43)=0,2,IF(MIN(L43:N43)=1,3,9)),9),IF(AND(OR(C43="Governed Operations Zone",C43="Autonomous Operations Zone"),S43&lt;4),3,9))=2,"Unstable Orbit","Edge Orbit"))))</f>
        <v/>
      </c>
      <c r="AG43" s="14" t="str">
        <f aca="false">IF($A43="","",IF(IF(AND(E43&gt;=4,H43&gt;=4),"R1 concentrated force; ","")&amp;IF(AND(OR(C43="Governed Operations Zone",C43="Autonomous Operations Zone"),E43&gt;=3,MIN(L43:N43)&lt;=1),"R2 mandatory control "&amp;INDEX($L$4:$N$4,1,MATCH(MIN(L43:N43),L43:N43,0))&amp;"="&amp;MIN(L43:N43)&amp;"; ","")&amp;IF(AND(OR(C43="Governed Operations Zone",C43="Autonomous Operations Zone"),S43&lt;4),"R3 evidence tier "&amp;S43&amp;"&lt;4; ","")="","-",IF(AND(E43&gt;=4,H43&gt;=4),"R1 concentrated force; ","")&amp;IF(AND(OR(C43="Governed Operations Zone",C43="Autonomous Operations Zone"),E43&gt;=3,MIN(L43:N43)&lt;=1),"R2 mandatory control "&amp;INDEX($L$4:$N$4,1,MATCH(MIN(L43:N43),L43:N43,0))&amp;"="&amp;MIN(L43:N43)&amp;"; ","")&amp;IF(AND(OR(C43="Governed Operations Zone",C43="Autonomous Operations Zone"),S43&lt;4),"R3 evidence tier "&amp;S43&amp;"&lt;4; ","")))</f>
        <v/>
      </c>
      <c r="AH43" s="14" t="str">
        <f aca="false">IF($A43="","",IF(MIN(IF(X43="Critical Orbit",1,IF(X43="Unstable Orbit",2,IF(X43="Edge Orbit",3,IF(X43="Controlled Orbit",4,5)))),IF(AF43="None",9,IF(AF43="Critical Orbit",1,IF(AF43="Unstable Orbit",2,IF(AF43="Edge Orbit",3,IF(AF43="Controlled Orbit",4,5))))))=1,"Critical Orbit",IF(MIN(IF(X43="Critical Orbit",1,IF(X43="Unstable Orbit",2,IF(X43="Edge Orbit",3,IF(X43="Controlled Orbit",4,5)))),IF(AF43="None",9,IF(AF43="Critical Orbit",1,IF(AF43="Unstable Orbit",2,IF(AF43="Edge Orbit",3,IF(AF43="Controlled Orbit",4,5))))))=2,"Unstable Orbit",IF(MIN(IF(X43="Critical Orbit",1,IF(X43="Unstable Orbit",2,IF(X43="Edge Orbit",3,IF(X43="Controlled Orbit",4,5)))),IF(AF43="None",9,IF(AF43="Critical Orbit",1,IF(AF43="Unstable Orbit",2,IF(AF43="Edge Orbit",3,IF(AF43="Controlled Orbit",4,5))))))=3,"Edge Orbit",IF(MIN(IF(X43="Critical Orbit",1,IF(X43="Unstable Orbit",2,IF(X43="Edge Orbit",3,IF(X43="Controlled Orbit",4,5)))),IF(AF43="None",9,IF(AF43="Critical Orbit",1,IF(AF43="Unstable Orbit",2,IF(AF43="Edge Orbit",3,IF(AF43="Controlled Orbit",4,5))))))=4,"Controlled Orbit","Stable Orbit")))))</f>
        <v/>
      </c>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12" t="str">
        <f aca="false">IF($A44="","",IF(AND(MAX(L44:R44)&gt;3,S44&lt;3),"Warning: EGI &gt;3 needs Tier 3+ evidence",IF(AND(C44="Autonomous Operations Zone",S44&lt;4),"Warning: Autonomous zone needs Tier 4 evidence","OK")))</f>
        <v/>
      </c>
      <c r="U44" s="10" t="str">
        <f aca="false">IF($A44="","",IF($D44="Basic",SUM(E44:K44)/35*100,SUMPRODUCT(E44:K44,INDEX('Weighted Scoring'!$B$5:$H$13,MATCH($B44,'Weighted Scoring'!$A$5:$A$13,0),0))/SUMPRODUCT(5,INDEX('Weighted Scoring'!$B$5:$H$13,MATCH($B44,'Weighted Scoring'!$A$5:$A$13,0),0))*100))</f>
        <v/>
      </c>
      <c r="V44" s="10" t="str">
        <f aca="false">IF($A44="","",IF($D44="Basic",SUM(L44:R44)/35*100,SUMPRODUCT(L44:R44,INDEX('Weighted Scoring'!$I$5:$O$13,MATCH($B44,'Weighted Scoring'!$A$5:$A$13,0),0))/SUMPRODUCT(5,INDEX('Weighted Scoring'!$I$5:$O$13,MATCH($B44,'Weighted Scoring'!$A$5:$A$13,0),0))*100))</f>
        <v/>
      </c>
      <c r="W44" s="10" t="str">
        <f aca="false">IF($A44="","",V44-U44)</f>
        <v/>
      </c>
      <c r="X44" s="12" t="str">
        <f aca="false">IF($A44="","",IF(W44&gt;=40,"Stable Orbit",IF(W44&gt;=15,"Controlled Orbit",IF(W44&gt;=-14,"Edge Orbit",IF(W44&gt;=-39,"Unstable Orbit","Critical Orbit")))))</f>
        <v/>
      </c>
      <c r="Y44" s="12" t="str">
        <f aca="false">IF($A44="","",INDEX('Deployment Gates'!$C$5:$C$9,MATCH(AH44,'Deployment Gates'!$A$5:$A$9,0)))</f>
        <v/>
      </c>
      <c r="Z44" s="3"/>
      <c r="AA44" s="12" t="str">
        <f aca="false">IF($A44="","",IF(OR(AH44="Edge Orbit",AH44="Unstable Orbit",AH44="Critical Orbit",H44&gt;=4,G44&gt;=4,E44&gt;=4,J44&gt;=4),"Yes","No"))</f>
        <v/>
      </c>
      <c r="AB44" s="12" t="str">
        <f aca="false">IF($A44="","",IF(W44&lt;0,"Yes","No"))</f>
        <v/>
      </c>
      <c r="AC44" s="12" t="str">
        <f aca="false">IF($A44="","",INDEX($L$4:$R$4,1,MATCH(MIN(L44:R44),L44:R44,0))&amp;IF(COUNTIF(L44:R44,MIN(L44:R44))&gt;1," (+"&amp;(COUNTIF(L44:R44,MIN(L44:R44))-1)&amp;" tied)",""))</f>
        <v/>
      </c>
      <c r="AD44" s="12" t="str">
        <f aca="false">IF($A44="","",INDEX($E$4:$K$4,1,MATCH(MAX(E44:K44),E44:K44,0))&amp;IF(COUNTIF(E44:K44,MAX(E44:K44))&gt;1," (+"&amp;(COUNTIF(E44:K44,MAX(E44:K44))-1)&amp;" tied)",""))</f>
        <v/>
      </c>
      <c r="AE44" s="12" t="str">
        <f aca="false">IF($A44="","",INDEX('Control Uplift Planner'!$B$5:$B$11,MATCH(INDEX($L$4:$R$4,1,MATCH(MIN(L44:R44),L44:R44,0)),'Control Uplift Planner'!$A$5:$A$11,0)))</f>
        <v/>
      </c>
      <c r="AF44" s="13" t="str">
        <f aca="false">IF($A44="","",IF(MIN(IF(AND(E44&gt;=4,H44&gt;=4),3,9),IF(AND(OR(C44="Governed Operations Zone",C44="Autonomous Operations Zone"),E44&gt;=3),IF(MIN(L44:N44)=0,2,IF(MIN(L44:N44)=1,3,9)),9),IF(AND(OR(C44="Governed Operations Zone",C44="Autonomous Operations Zone"),S44&lt;4),3,9))=9,"None",IF(MIN(IF(AND(E44&gt;=4,H44&gt;=4),3,9),IF(AND(OR(C44="Governed Operations Zone",C44="Autonomous Operations Zone"),E44&gt;=3),IF(MIN(L44:N44)=0,2,IF(MIN(L44:N44)=1,3,9)),9),IF(AND(OR(C44="Governed Operations Zone",C44="Autonomous Operations Zone"),S44&lt;4),3,9))=1,"Critical Orbit",IF(MIN(IF(AND(E44&gt;=4,H44&gt;=4),3,9),IF(AND(OR(C44="Governed Operations Zone",C44="Autonomous Operations Zone"),E44&gt;=3),IF(MIN(L44:N44)=0,2,IF(MIN(L44:N44)=1,3,9)),9),IF(AND(OR(C44="Governed Operations Zone",C44="Autonomous Operations Zone"),S44&lt;4),3,9))=2,"Unstable Orbit","Edge Orbit"))))</f>
        <v/>
      </c>
      <c r="AG44" s="14" t="str">
        <f aca="false">IF($A44="","",IF(IF(AND(E44&gt;=4,H44&gt;=4),"R1 concentrated force; ","")&amp;IF(AND(OR(C44="Governed Operations Zone",C44="Autonomous Operations Zone"),E44&gt;=3,MIN(L44:N44)&lt;=1),"R2 mandatory control "&amp;INDEX($L$4:$N$4,1,MATCH(MIN(L44:N44),L44:N44,0))&amp;"="&amp;MIN(L44:N44)&amp;"; ","")&amp;IF(AND(OR(C44="Governed Operations Zone",C44="Autonomous Operations Zone"),S44&lt;4),"R3 evidence tier "&amp;S44&amp;"&lt;4; ","")="","-",IF(AND(E44&gt;=4,H44&gt;=4),"R1 concentrated force; ","")&amp;IF(AND(OR(C44="Governed Operations Zone",C44="Autonomous Operations Zone"),E44&gt;=3,MIN(L44:N44)&lt;=1),"R2 mandatory control "&amp;INDEX($L$4:$N$4,1,MATCH(MIN(L44:N44),L44:N44,0))&amp;"="&amp;MIN(L44:N44)&amp;"; ","")&amp;IF(AND(OR(C44="Governed Operations Zone",C44="Autonomous Operations Zone"),S44&lt;4),"R3 evidence tier "&amp;S44&amp;"&lt;4; ","")))</f>
        <v/>
      </c>
      <c r="AH44" s="14" t="str">
        <f aca="false">IF($A44="","",IF(MIN(IF(X44="Critical Orbit",1,IF(X44="Unstable Orbit",2,IF(X44="Edge Orbit",3,IF(X44="Controlled Orbit",4,5)))),IF(AF44="None",9,IF(AF44="Critical Orbit",1,IF(AF44="Unstable Orbit",2,IF(AF44="Edge Orbit",3,IF(AF44="Controlled Orbit",4,5))))))=1,"Critical Orbit",IF(MIN(IF(X44="Critical Orbit",1,IF(X44="Unstable Orbit",2,IF(X44="Edge Orbit",3,IF(X44="Controlled Orbit",4,5)))),IF(AF44="None",9,IF(AF44="Critical Orbit",1,IF(AF44="Unstable Orbit",2,IF(AF44="Edge Orbit",3,IF(AF44="Controlled Orbit",4,5))))))=2,"Unstable Orbit",IF(MIN(IF(X44="Critical Orbit",1,IF(X44="Unstable Orbit",2,IF(X44="Edge Orbit",3,IF(X44="Controlled Orbit",4,5)))),IF(AF44="None",9,IF(AF44="Critical Orbit",1,IF(AF44="Unstable Orbit",2,IF(AF44="Edge Orbit",3,IF(AF44="Controlled Orbit",4,5))))))=3,"Edge Orbit",IF(MIN(IF(X44="Critical Orbit",1,IF(X44="Unstable Orbit",2,IF(X44="Edge Orbit",3,IF(X44="Controlled Orbit",4,5)))),IF(AF44="None",9,IF(AF44="Critical Orbit",1,IF(AF44="Unstable Orbit",2,IF(AF44="Edge Orbit",3,IF(AF44="Controlled Orbit",4,5))))))=4,"Controlled Orbit","Stable Orbit")))))</f>
        <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12" t="str">
        <f aca="false">IF($A45="","",IF(AND(MAX(L45:R45)&gt;3,S45&lt;3),"Warning: EGI &gt;3 needs Tier 3+ evidence",IF(AND(C45="Autonomous Operations Zone",S45&lt;4),"Warning: Autonomous zone needs Tier 4 evidence","OK")))</f>
        <v/>
      </c>
      <c r="U45" s="10" t="str">
        <f aca="false">IF($A45="","",IF($D45="Basic",SUM(E45:K45)/35*100,SUMPRODUCT(E45:K45,INDEX('Weighted Scoring'!$B$5:$H$13,MATCH($B45,'Weighted Scoring'!$A$5:$A$13,0),0))/SUMPRODUCT(5,INDEX('Weighted Scoring'!$B$5:$H$13,MATCH($B45,'Weighted Scoring'!$A$5:$A$13,0),0))*100))</f>
        <v/>
      </c>
      <c r="V45" s="10" t="str">
        <f aca="false">IF($A45="","",IF($D45="Basic",SUM(L45:R45)/35*100,SUMPRODUCT(L45:R45,INDEX('Weighted Scoring'!$I$5:$O$13,MATCH($B45,'Weighted Scoring'!$A$5:$A$13,0),0))/SUMPRODUCT(5,INDEX('Weighted Scoring'!$I$5:$O$13,MATCH($B45,'Weighted Scoring'!$A$5:$A$13,0),0))*100))</f>
        <v/>
      </c>
      <c r="W45" s="10" t="str">
        <f aca="false">IF($A45="","",V45-U45)</f>
        <v/>
      </c>
      <c r="X45" s="12" t="str">
        <f aca="false">IF($A45="","",IF(W45&gt;=40,"Stable Orbit",IF(W45&gt;=15,"Controlled Orbit",IF(W45&gt;=-14,"Edge Orbit",IF(W45&gt;=-39,"Unstable Orbit","Critical Orbit")))))</f>
        <v/>
      </c>
      <c r="Y45" s="12" t="str">
        <f aca="false">IF($A45="","",INDEX('Deployment Gates'!$C$5:$C$9,MATCH(AH45,'Deployment Gates'!$A$5:$A$9,0)))</f>
        <v/>
      </c>
      <c r="Z45" s="3"/>
      <c r="AA45" s="12" t="str">
        <f aca="false">IF($A45="","",IF(OR(AH45="Edge Orbit",AH45="Unstable Orbit",AH45="Critical Orbit",H45&gt;=4,G45&gt;=4,E45&gt;=4,J45&gt;=4),"Yes","No"))</f>
        <v/>
      </c>
      <c r="AB45" s="12" t="str">
        <f aca="false">IF($A45="","",IF(W45&lt;0,"Yes","No"))</f>
        <v/>
      </c>
      <c r="AC45" s="12" t="str">
        <f aca="false">IF($A45="","",INDEX($L$4:$R$4,1,MATCH(MIN(L45:R45),L45:R45,0))&amp;IF(COUNTIF(L45:R45,MIN(L45:R45))&gt;1," (+"&amp;(COUNTIF(L45:R45,MIN(L45:R45))-1)&amp;" tied)",""))</f>
        <v/>
      </c>
      <c r="AD45" s="12" t="str">
        <f aca="false">IF($A45="","",INDEX($E$4:$K$4,1,MATCH(MAX(E45:K45),E45:K45,0))&amp;IF(COUNTIF(E45:K45,MAX(E45:K45))&gt;1," (+"&amp;(COUNTIF(E45:K45,MAX(E45:K45))-1)&amp;" tied)",""))</f>
        <v/>
      </c>
      <c r="AE45" s="12" t="str">
        <f aca="false">IF($A45="","",INDEX('Control Uplift Planner'!$B$5:$B$11,MATCH(INDEX($L$4:$R$4,1,MATCH(MIN(L45:R45),L45:R45,0)),'Control Uplift Planner'!$A$5:$A$11,0)))</f>
        <v/>
      </c>
      <c r="AF45" s="13" t="str">
        <f aca="false">IF($A45="","",IF(MIN(IF(AND(E45&gt;=4,H45&gt;=4),3,9),IF(AND(OR(C45="Governed Operations Zone",C45="Autonomous Operations Zone"),E45&gt;=3),IF(MIN(L45:N45)=0,2,IF(MIN(L45:N45)=1,3,9)),9),IF(AND(OR(C45="Governed Operations Zone",C45="Autonomous Operations Zone"),S45&lt;4),3,9))=9,"None",IF(MIN(IF(AND(E45&gt;=4,H45&gt;=4),3,9),IF(AND(OR(C45="Governed Operations Zone",C45="Autonomous Operations Zone"),E45&gt;=3),IF(MIN(L45:N45)=0,2,IF(MIN(L45:N45)=1,3,9)),9),IF(AND(OR(C45="Governed Operations Zone",C45="Autonomous Operations Zone"),S45&lt;4),3,9))=1,"Critical Orbit",IF(MIN(IF(AND(E45&gt;=4,H45&gt;=4),3,9),IF(AND(OR(C45="Governed Operations Zone",C45="Autonomous Operations Zone"),E45&gt;=3),IF(MIN(L45:N45)=0,2,IF(MIN(L45:N45)=1,3,9)),9),IF(AND(OR(C45="Governed Operations Zone",C45="Autonomous Operations Zone"),S45&lt;4),3,9))=2,"Unstable Orbit","Edge Orbit"))))</f>
        <v/>
      </c>
      <c r="AG45" s="14" t="str">
        <f aca="false">IF($A45="","",IF(IF(AND(E45&gt;=4,H45&gt;=4),"R1 concentrated force; ","")&amp;IF(AND(OR(C45="Governed Operations Zone",C45="Autonomous Operations Zone"),E45&gt;=3,MIN(L45:N45)&lt;=1),"R2 mandatory control "&amp;INDEX($L$4:$N$4,1,MATCH(MIN(L45:N45),L45:N45,0))&amp;"="&amp;MIN(L45:N45)&amp;"; ","")&amp;IF(AND(OR(C45="Governed Operations Zone",C45="Autonomous Operations Zone"),S45&lt;4),"R3 evidence tier "&amp;S45&amp;"&lt;4; ","")="","-",IF(AND(E45&gt;=4,H45&gt;=4),"R1 concentrated force; ","")&amp;IF(AND(OR(C45="Governed Operations Zone",C45="Autonomous Operations Zone"),E45&gt;=3,MIN(L45:N45)&lt;=1),"R2 mandatory control "&amp;INDEX($L$4:$N$4,1,MATCH(MIN(L45:N45),L45:N45,0))&amp;"="&amp;MIN(L45:N45)&amp;"; ","")&amp;IF(AND(OR(C45="Governed Operations Zone",C45="Autonomous Operations Zone"),S45&lt;4),"R3 evidence tier "&amp;S45&amp;"&lt;4; ","")))</f>
        <v/>
      </c>
      <c r="AH45" s="14" t="str">
        <f aca="false">IF($A45="","",IF(MIN(IF(X45="Critical Orbit",1,IF(X45="Unstable Orbit",2,IF(X45="Edge Orbit",3,IF(X45="Controlled Orbit",4,5)))),IF(AF45="None",9,IF(AF45="Critical Orbit",1,IF(AF45="Unstable Orbit",2,IF(AF45="Edge Orbit",3,IF(AF45="Controlled Orbit",4,5))))))=1,"Critical Orbit",IF(MIN(IF(X45="Critical Orbit",1,IF(X45="Unstable Orbit",2,IF(X45="Edge Orbit",3,IF(X45="Controlled Orbit",4,5)))),IF(AF45="None",9,IF(AF45="Critical Orbit",1,IF(AF45="Unstable Orbit",2,IF(AF45="Edge Orbit",3,IF(AF45="Controlled Orbit",4,5))))))=2,"Unstable Orbit",IF(MIN(IF(X45="Critical Orbit",1,IF(X45="Unstable Orbit",2,IF(X45="Edge Orbit",3,IF(X45="Controlled Orbit",4,5)))),IF(AF45="None",9,IF(AF45="Critical Orbit",1,IF(AF45="Unstable Orbit",2,IF(AF45="Edge Orbit",3,IF(AF45="Controlled Orbit",4,5))))))=3,"Edge Orbit",IF(MIN(IF(X45="Critical Orbit",1,IF(X45="Unstable Orbit",2,IF(X45="Edge Orbit",3,IF(X45="Controlled Orbit",4,5)))),IF(AF45="None",9,IF(AF45="Critical Orbit",1,IF(AF45="Unstable Orbit",2,IF(AF45="Edge Orbit",3,IF(AF45="Controlled Orbit",4,5))))))=4,"Controlled Orbit","Stable Orbit")))))</f>
        <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12" t="str">
        <f aca="false">IF($A46="","",IF(AND(MAX(L46:R46)&gt;3,S46&lt;3),"Warning: EGI &gt;3 needs Tier 3+ evidence",IF(AND(C46="Autonomous Operations Zone",S46&lt;4),"Warning: Autonomous zone needs Tier 4 evidence","OK")))</f>
        <v/>
      </c>
      <c r="U46" s="10" t="str">
        <f aca="false">IF($A46="","",IF($D46="Basic",SUM(E46:K46)/35*100,SUMPRODUCT(E46:K46,INDEX('Weighted Scoring'!$B$5:$H$13,MATCH($B46,'Weighted Scoring'!$A$5:$A$13,0),0))/SUMPRODUCT(5,INDEX('Weighted Scoring'!$B$5:$H$13,MATCH($B46,'Weighted Scoring'!$A$5:$A$13,0),0))*100))</f>
        <v/>
      </c>
      <c r="V46" s="10" t="str">
        <f aca="false">IF($A46="","",IF($D46="Basic",SUM(L46:R46)/35*100,SUMPRODUCT(L46:R46,INDEX('Weighted Scoring'!$I$5:$O$13,MATCH($B46,'Weighted Scoring'!$A$5:$A$13,0),0))/SUMPRODUCT(5,INDEX('Weighted Scoring'!$I$5:$O$13,MATCH($B46,'Weighted Scoring'!$A$5:$A$13,0),0))*100))</f>
        <v/>
      </c>
      <c r="W46" s="10" t="str">
        <f aca="false">IF($A46="","",V46-U46)</f>
        <v/>
      </c>
      <c r="X46" s="12" t="str">
        <f aca="false">IF($A46="","",IF(W46&gt;=40,"Stable Orbit",IF(W46&gt;=15,"Controlled Orbit",IF(W46&gt;=-14,"Edge Orbit",IF(W46&gt;=-39,"Unstable Orbit","Critical Orbit")))))</f>
        <v/>
      </c>
      <c r="Y46" s="12" t="str">
        <f aca="false">IF($A46="","",INDEX('Deployment Gates'!$C$5:$C$9,MATCH(AH46,'Deployment Gates'!$A$5:$A$9,0)))</f>
        <v/>
      </c>
      <c r="Z46" s="3"/>
      <c r="AA46" s="12" t="str">
        <f aca="false">IF($A46="","",IF(OR(AH46="Edge Orbit",AH46="Unstable Orbit",AH46="Critical Orbit",H46&gt;=4,G46&gt;=4,E46&gt;=4,J46&gt;=4),"Yes","No"))</f>
        <v/>
      </c>
      <c r="AB46" s="12" t="str">
        <f aca="false">IF($A46="","",IF(W46&lt;0,"Yes","No"))</f>
        <v/>
      </c>
      <c r="AC46" s="12" t="str">
        <f aca="false">IF($A46="","",INDEX($L$4:$R$4,1,MATCH(MIN(L46:R46),L46:R46,0))&amp;IF(COUNTIF(L46:R46,MIN(L46:R46))&gt;1," (+"&amp;(COUNTIF(L46:R46,MIN(L46:R46))-1)&amp;" tied)",""))</f>
        <v/>
      </c>
      <c r="AD46" s="12" t="str">
        <f aca="false">IF($A46="","",INDEX($E$4:$K$4,1,MATCH(MAX(E46:K46),E46:K46,0))&amp;IF(COUNTIF(E46:K46,MAX(E46:K46))&gt;1," (+"&amp;(COUNTIF(E46:K46,MAX(E46:K46))-1)&amp;" tied)",""))</f>
        <v/>
      </c>
      <c r="AE46" s="12" t="str">
        <f aca="false">IF($A46="","",INDEX('Control Uplift Planner'!$B$5:$B$11,MATCH(INDEX($L$4:$R$4,1,MATCH(MIN(L46:R46),L46:R46,0)),'Control Uplift Planner'!$A$5:$A$11,0)))</f>
        <v/>
      </c>
      <c r="AF46" s="13" t="str">
        <f aca="false">IF($A46="","",IF(MIN(IF(AND(E46&gt;=4,H46&gt;=4),3,9),IF(AND(OR(C46="Governed Operations Zone",C46="Autonomous Operations Zone"),E46&gt;=3),IF(MIN(L46:N46)=0,2,IF(MIN(L46:N46)=1,3,9)),9),IF(AND(OR(C46="Governed Operations Zone",C46="Autonomous Operations Zone"),S46&lt;4),3,9))=9,"None",IF(MIN(IF(AND(E46&gt;=4,H46&gt;=4),3,9),IF(AND(OR(C46="Governed Operations Zone",C46="Autonomous Operations Zone"),E46&gt;=3),IF(MIN(L46:N46)=0,2,IF(MIN(L46:N46)=1,3,9)),9),IF(AND(OR(C46="Governed Operations Zone",C46="Autonomous Operations Zone"),S46&lt;4),3,9))=1,"Critical Orbit",IF(MIN(IF(AND(E46&gt;=4,H46&gt;=4),3,9),IF(AND(OR(C46="Governed Operations Zone",C46="Autonomous Operations Zone"),E46&gt;=3),IF(MIN(L46:N46)=0,2,IF(MIN(L46:N46)=1,3,9)),9),IF(AND(OR(C46="Governed Operations Zone",C46="Autonomous Operations Zone"),S46&lt;4),3,9))=2,"Unstable Orbit","Edge Orbit"))))</f>
        <v/>
      </c>
      <c r="AG46" s="14" t="str">
        <f aca="false">IF($A46="","",IF(IF(AND(E46&gt;=4,H46&gt;=4),"R1 concentrated force; ","")&amp;IF(AND(OR(C46="Governed Operations Zone",C46="Autonomous Operations Zone"),E46&gt;=3,MIN(L46:N46)&lt;=1),"R2 mandatory control "&amp;INDEX($L$4:$N$4,1,MATCH(MIN(L46:N46),L46:N46,0))&amp;"="&amp;MIN(L46:N46)&amp;"; ","")&amp;IF(AND(OR(C46="Governed Operations Zone",C46="Autonomous Operations Zone"),S46&lt;4),"R3 evidence tier "&amp;S46&amp;"&lt;4; ","")="","-",IF(AND(E46&gt;=4,H46&gt;=4),"R1 concentrated force; ","")&amp;IF(AND(OR(C46="Governed Operations Zone",C46="Autonomous Operations Zone"),E46&gt;=3,MIN(L46:N46)&lt;=1),"R2 mandatory control "&amp;INDEX($L$4:$N$4,1,MATCH(MIN(L46:N46),L46:N46,0))&amp;"="&amp;MIN(L46:N46)&amp;"; ","")&amp;IF(AND(OR(C46="Governed Operations Zone",C46="Autonomous Operations Zone"),S46&lt;4),"R3 evidence tier "&amp;S46&amp;"&lt;4; ","")))</f>
        <v/>
      </c>
      <c r="AH46" s="14" t="str">
        <f aca="false">IF($A46="","",IF(MIN(IF(X46="Critical Orbit",1,IF(X46="Unstable Orbit",2,IF(X46="Edge Orbit",3,IF(X46="Controlled Orbit",4,5)))),IF(AF46="None",9,IF(AF46="Critical Orbit",1,IF(AF46="Unstable Orbit",2,IF(AF46="Edge Orbit",3,IF(AF46="Controlled Orbit",4,5))))))=1,"Critical Orbit",IF(MIN(IF(X46="Critical Orbit",1,IF(X46="Unstable Orbit",2,IF(X46="Edge Orbit",3,IF(X46="Controlled Orbit",4,5)))),IF(AF46="None",9,IF(AF46="Critical Orbit",1,IF(AF46="Unstable Orbit",2,IF(AF46="Edge Orbit",3,IF(AF46="Controlled Orbit",4,5))))))=2,"Unstable Orbit",IF(MIN(IF(X46="Critical Orbit",1,IF(X46="Unstable Orbit",2,IF(X46="Edge Orbit",3,IF(X46="Controlled Orbit",4,5)))),IF(AF46="None",9,IF(AF46="Critical Orbit",1,IF(AF46="Unstable Orbit",2,IF(AF46="Edge Orbit",3,IF(AF46="Controlled Orbit",4,5))))))=3,"Edge Orbit",IF(MIN(IF(X46="Critical Orbit",1,IF(X46="Unstable Orbit",2,IF(X46="Edge Orbit",3,IF(X46="Controlled Orbit",4,5)))),IF(AF46="None",9,IF(AF46="Critical Orbit",1,IF(AF46="Unstable Orbit",2,IF(AF46="Edge Orbit",3,IF(AF46="Controlled Orbit",4,5))))))=4,"Controlled Orbit","Stable Orbit")))))</f>
        <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12" t="str">
        <f aca="false">IF($A47="","",IF(AND(MAX(L47:R47)&gt;3,S47&lt;3),"Warning: EGI &gt;3 needs Tier 3+ evidence",IF(AND(C47="Autonomous Operations Zone",S47&lt;4),"Warning: Autonomous zone needs Tier 4 evidence","OK")))</f>
        <v/>
      </c>
      <c r="U47" s="10" t="str">
        <f aca="false">IF($A47="","",IF($D47="Basic",SUM(E47:K47)/35*100,SUMPRODUCT(E47:K47,INDEX('Weighted Scoring'!$B$5:$H$13,MATCH($B47,'Weighted Scoring'!$A$5:$A$13,0),0))/SUMPRODUCT(5,INDEX('Weighted Scoring'!$B$5:$H$13,MATCH($B47,'Weighted Scoring'!$A$5:$A$13,0),0))*100))</f>
        <v/>
      </c>
      <c r="V47" s="10" t="str">
        <f aca="false">IF($A47="","",IF($D47="Basic",SUM(L47:R47)/35*100,SUMPRODUCT(L47:R47,INDEX('Weighted Scoring'!$I$5:$O$13,MATCH($B47,'Weighted Scoring'!$A$5:$A$13,0),0))/SUMPRODUCT(5,INDEX('Weighted Scoring'!$I$5:$O$13,MATCH($B47,'Weighted Scoring'!$A$5:$A$13,0),0))*100))</f>
        <v/>
      </c>
      <c r="W47" s="10" t="str">
        <f aca="false">IF($A47="","",V47-U47)</f>
        <v/>
      </c>
      <c r="X47" s="12" t="str">
        <f aca="false">IF($A47="","",IF(W47&gt;=40,"Stable Orbit",IF(W47&gt;=15,"Controlled Orbit",IF(W47&gt;=-14,"Edge Orbit",IF(W47&gt;=-39,"Unstable Orbit","Critical Orbit")))))</f>
        <v/>
      </c>
      <c r="Y47" s="12" t="str">
        <f aca="false">IF($A47="","",INDEX('Deployment Gates'!$C$5:$C$9,MATCH(AH47,'Deployment Gates'!$A$5:$A$9,0)))</f>
        <v/>
      </c>
      <c r="Z47" s="3"/>
      <c r="AA47" s="12" t="str">
        <f aca="false">IF($A47="","",IF(OR(AH47="Edge Orbit",AH47="Unstable Orbit",AH47="Critical Orbit",H47&gt;=4,G47&gt;=4,E47&gt;=4,J47&gt;=4),"Yes","No"))</f>
        <v/>
      </c>
      <c r="AB47" s="12" t="str">
        <f aca="false">IF($A47="","",IF(W47&lt;0,"Yes","No"))</f>
        <v/>
      </c>
      <c r="AC47" s="12" t="str">
        <f aca="false">IF($A47="","",INDEX($L$4:$R$4,1,MATCH(MIN(L47:R47),L47:R47,0))&amp;IF(COUNTIF(L47:R47,MIN(L47:R47))&gt;1," (+"&amp;(COUNTIF(L47:R47,MIN(L47:R47))-1)&amp;" tied)",""))</f>
        <v/>
      </c>
      <c r="AD47" s="12" t="str">
        <f aca="false">IF($A47="","",INDEX($E$4:$K$4,1,MATCH(MAX(E47:K47),E47:K47,0))&amp;IF(COUNTIF(E47:K47,MAX(E47:K47))&gt;1," (+"&amp;(COUNTIF(E47:K47,MAX(E47:K47))-1)&amp;" tied)",""))</f>
        <v/>
      </c>
      <c r="AE47" s="12" t="str">
        <f aca="false">IF($A47="","",INDEX('Control Uplift Planner'!$B$5:$B$11,MATCH(INDEX($L$4:$R$4,1,MATCH(MIN(L47:R47),L47:R47,0)),'Control Uplift Planner'!$A$5:$A$11,0)))</f>
        <v/>
      </c>
      <c r="AF47" s="13" t="str">
        <f aca="false">IF($A47="","",IF(MIN(IF(AND(E47&gt;=4,H47&gt;=4),3,9),IF(AND(OR(C47="Governed Operations Zone",C47="Autonomous Operations Zone"),E47&gt;=3),IF(MIN(L47:N47)=0,2,IF(MIN(L47:N47)=1,3,9)),9),IF(AND(OR(C47="Governed Operations Zone",C47="Autonomous Operations Zone"),S47&lt;4),3,9))=9,"None",IF(MIN(IF(AND(E47&gt;=4,H47&gt;=4),3,9),IF(AND(OR(C47="Governed Operations Zone",C47="Autonomous Operations Zone"),E47&gt;=3),IF(MIN(L47:N47)=0,2,IF(MIN(L47:N47)=1,3,9)),9),IF(AND(OR(C47="Governed Operations Zone",C47="Autonomous Operations Zone"),S47&lt;4),3,9))=1,"Critical Orbit",IF(MIN(IF(AND(E47&gt;=4,H47&gt;=4),3,9),IF(AND(OR(C47="Governed Operations Zone",C47="Autonomous Operations Zone"),E47&gt;=3),IF(MIN(L47:N47)=0,2,IF(MIN(L47:N47)=1,3,9)),9),IF(AND(OR(C47="Governed Operations Zone",C47="Autonomous Operations Zone"),S47&lt;4),3,9))=2,"Unstable Orbit","Edge Orbit"))))</f>
        <v/>
      </c>
      <c r="AG47" s="14" t="str">
        <f aca="false">IF($A47="","",IF(IF(AND(E47&gt;=4,H47&gt;=4),"R1 concentrated force; ","")&amp;IF(AND(OR(C47="Governed Operations Zone",C47="Autonomous Operations Zone"),E47&gt;=3,MIN(L47:N47)&lt;=1),"R2 mandatory control "&amp;INDEX($L$4:$N$4,1,MATCH(MIN(L47:N47),L47:N47,0))&amp;"="&amp;MIN(L47:N47)&amp;"; ","")&amp;IF(AND(OR(C47="Governed Operations Zone",C47="Autonomous Operations Zone"),S47&lt;4),"R3 evidence tier "&amp;S47&amp;"&lt;4; ","")="","-",IF(AND(E47&gt;=4,H47&gt;=4),"R1 concentrated force; ","")&amp;IF(AND(OR(C47="Governed Operations Zone",C47="Autonomous Operations Zone"),E47&gt;=3,MIN(L47:N47)&lt;=1),"R2 mandatory control "&amp;INDEX($L$4:$N$4,1,MATCH(MIN(L47:N47),L47:N47,0))&amp;"="&amp;MIN(L47:N47)&amp;"; ","")&amp;IF(AND(OR(C47="Governed Operations Zone",C47="Autonomous Operations Zone"),S47&lt;4),"R3 evidence tier "&amp;S47&amp;"&lt;4; ","")))</f>
        <v/>
      </c>
      <c r="AH47" s="14" t="str">
        <f aca="false">IF($A47="","",IF(MIN(IF(X47="Critical Orbit",1,IF(X47="Unstable Orbit",2,IF(X47="Edge Orbit",3,IF(X47="Controlled Orbit",4,5)))),IF(AF47="None",9,IF(AF47="Critical Orbit",1,IF(AF47="Unstable Orbit",2,IF(AF47="Edge Orbit",3,IF(AF47="Controlled Orbit",4,5))))))=1,"Critical Orbit",IF(MIN(IF(X47="Critical Orbit",1,IF(X47="Unstable Orbit",2,IF(X47="Edge Orbit",3,IF(X47="Controlled Orbit",4,5)))),IF(AF47="None",9,IF(AF47="Critical Orbit",1,IF(AF47="Unstable Orbit",2,IF(AF47="Edge Orbit",3,IF(AF47="Controlled Orbit",4,5))))))=2,"Unstable Orbit",IF(MIN(IF(X47="Critical Orbit",1,IF(X47="Unstable Orbit",2,IF(X47="Edge Orbit",3,IF(X47="Controlled Orbit",4,5)))),IF(AF47="None",9,IF(AF47="Critical Orbit",1,IF(AF47="Unstable Orbit",2,IF(AF47="Edge Orbit",3,IF(AF47="Controlled Orbit",4,5))))))=3,"Edge Orbit",IF(MIN(IF(X47="Critical Orbit",1,IF(X47="Unstable Orbit",2,IF(X47="Edge Orbit",3,IF(X47="Controlled Orbit",4,5)))),IF(AF47="None",9,IF(AF47="Critical Orbit",1,IF(AF47="Unstable Orbit",2,IF(AF47="Edge Orbit",3,IF(AF47="Controlled Orbit",4,5))))))=4,"Controlled Orbit","Stable Orbit")))))</f>
        <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12" t="str">
        <f aca="false">IF($A48="","",IF(AND(MAX(L48:R48)&gt;3,S48&lt;3),"Warning: EGI &gt;3 needs Tier 3+ evidence",IF(AND(C48="Autonomous Operations Zone",S48&lt;4),"Warning: Autonomous zone needs Tier 4 evidence","OK")))</f>
        <v/>
      </c>
      <c r="U48" s="10" t="str">
        <f aca="false">IF($A48="","",IF($D48="Basic",SUM(E48:K48)/35*100,SUMPRODUCT(E48:K48,INDEX('Weighted Scoring'!$B$5:$H$13,MATCH($B48,'Weighted Scoring'!$A$5:$A$13,0),0))/SUMPRODUCT(5,INDEX('Weighted Scoring'!$B$5:$H$13,MATCH($B48,'Weighted Scoring'!$A$5:$A$13,0),0))*100))</f>
        <v/>
      </c>
      <c r="V48" s="10" t="str">
        <f aca="false">IF($A48="","",IF($D48="Basic",SUM(L48:R48)/35*100,SUMPRODUCT(L48:R48,INDEX('Weighted Scoring'!$I$5:$O$13,MATCH($B48,'Weighted Scoring'!$A$5:$A$13,0),0))/SUMPRODUCT(5,INDEX('Weighted Scoring'!$I$5:$O$13,MATCH($B48,'Weighted Scoring'!$A$5:$A$13,0),0))*100))</f>
        <v/>
      </c>
      <c r="W48" s="10" t="str">
        <f aca="false">IF($A48="","",V48-U48)</f>
        <v/>
      </c>
      <c r="X48" s="12" t="str">
        <f aca="false">IF($A48="","",IF(W48&gt;=40,"Stable Orbit",IF(W48&gt;=15,"Controlled Orbit",IF(W48&gt;=-14,"Edge Orbit",IF(W48&gt;=-39,"Unstable Orbit","Critical Orbit")))))</f>
        <v/>
      </c>
      <c r="Y48" s="12" t="str">
        <f aca="false">IF($A48="","",INDEX('Deployment Gates'!$C$5:$C$9,MATCH(AH48,'Deployment Gates'!$A$5:$A$9,0)))</f>
        <v/>
      </c>
      <c r="Z48" s="3"/>
      <c r="AA48" s="12" t="str">
        <f aca="false">IF($A48="","",IF(OR(AH48="Edge Orbit",AH48="Unstable Orbit",AH48="Critical Orbit",H48&gt;=4,G48&gt;=4,E48&gt;=4,J48&gt;=4),"Yes","No"))</f>
        <v/>
      </c>
      <c r="AB48" s="12" t="str">
        <f aca="false">IF($A48="","",IF(W48&lt;0,"Yes","No"))</f>
        <v/>
      </c>
      <c r="AC48" s="12" t="str">
        <f aca="false">IF($A48="","",INDEX($L$4:$R$4,1,MATCH(MIN(L48:R48),L48:R48,0))&amp;IF(COUNTIF(L48:R48,MIN(L48:R48))&gt;1," (+"&amp;(COUNTIF(L48:R48,MIN(L48:R48))-1)&amp;" tied)",""))</f>
        <v/>
      </c>
      <c r="AD48" s="12" t="str">
        <f aca="false">IF($A48="","",INDEX($E$4:$K$4,1,MATCH(MAX(E48:K48),E48:K48,0))&amp;IF(COUNTIF(E48:K48,MAX(E48:K48))&gt;1," (+"&amp;(COUNTIF(E48:K48,MAX(E48:K48))-1)&amp;" tied)",""))</f>
        <v/>
      </c>
      <c r="AE48" s="12" t="str">
        <f aca="false">IF($A48="","",INDEX('Control Uplift Planner'!$B$5:$B$11,MATCH(INDEX($L$4:$R$4,1,MATCH(MIN(L48:R48),L48:R48,0)),'Control Uplift Planner'!$A$5:$A$11,0)))</f>
        <v/>
      </c>
      <c r="AF48" s="13" t="str">
        <f aca="false">IF($A48="","",IF(MIN(IF(AND(E48&gt;=4,H48&gt;=4),3,9),IF(AND(OR(C48="Governed Operations Zone",C48="Autonomous Operations Zone"),E48&gt;=3),IF(MIN(L48:N48)=0,2,IF(MIN(L48:N48)=1,3,9)),9),IF(AND(OR(C48="Governed Operations Zone",C48="Autonomous Operations Zone"),S48&lt;4),3,9))=9,"None",IF(MIN(IF(AND(E48&gt;=4,H48&gt;=4),3,9),IF(AND(OR(C48="Governed Operations Zone",C48="Autonomous Operations Zone"),E48&gt;=3),IF(MIN(L48:N48)=0,2,IF(MIN(L48:N48)=1,3,9)),9),IF(AND(OR(C48="Governed Operations Zone",C48="Autonomous Operations Zone"),S48&lt;4),3,9))=1,"Critical Orbit",IF(MIN(IF(AND(E48&gt;=4,H48&gt;=4),3,9),IF(AND(OR(C48="Governed Operations Zone",C48="Autonomous Operations Zone"),E48&gt;=3),IF(MIN(L48:N48)=0,2,IF(MIN(L48:N48)=1,3,9)),9),IF(AND(OR(C48="Governed Operations Zone",C48="Autonomous Operations Zone"),S48&lt;4),3,9))=2,"Unstable Orbit","Edge Orbit"))))</f>
        <v/>
      </c>
      <c r="AG48" s="14" t="str">
        <f aca="false">IF($A48="","",IF(IF(AND(E48&gt;=4,H48&gt;=4),"R1 concentrated force; ","")&amp;IF(AND(OR(C48="Governed Operations Zone",C48="Autonomous Operations Zone"),E48&gt;=3,MIN(L48:N48)&lt;=1),"R2 mandatory control "&amp;INDEX($L$4:$N$4,1,MATCH(MIN(L48:N48),L48:N48,0))&amp;"="&amp;MIN(L48:N48)&amp;"; ","")&amp;IF(AND(OR(C48="Governed Operations Zone",C48="Autonomous Operations Zone"),S48&lt;4),"R3 evidence tier "&amp;S48&amp;"&lt;4; ","")="","-",IF(AND(E48&gt;=4,H48&gt;=4),"R1 concentrated force; ","")&amp;IF(AND(OR(C48="Governed Operations Zone",C48="Autonomous Operations Zone"),E48&gt;=3,MIN(L48:N48)&lt;=1),"R2 mandatory control "&amp;INDEX($L$4:$N$4,1,MATCH(MIN(L48:N48),L48:N48,0))&amp;"="&amp;MIN(L48:N48)&amp;"; ","")&amp;IF(AND(OR(C48="Governed Operations Zone",C48="Autonomous Operations Zone"),S48&lt;4),"R3 evidence tier "&amp;S48&amp;"&lt;4; ","")))</f>
        <v/>
      </c>
      <c r="AH48" s="14" t="str">
        <f aca="false">IF($A48="","",IF(MIN(IF(X48="Critical Orbit",1,IF(X48="Unstable Orbit",2,IF(X48="Edge Orbit",3,IF(X48="Controlled Orbit",4,5)))),IF(AF48="None",9,IF(AF48="Critical Orbit",1,IF(AF48="Unstable Orbit",2,IF(AF48="Edge Orbit",3,IF(AF48="Controlled Orbit",4,5))))))=1,"Critical Orbit",IF(MIN(IF(X48="Critical Orbit",1,IF(X48="Unstable Orbit",2,IF(X48="Edge Orbit",3,IF(X48="Controlled Orbit",4,5)))),IF(AF48="None",9,IF(AF48="Critical Orbit",1,IF(AF48="Unstable Orbit",2,IF(AF48="Edge Orbit",3,IF(AF48="Controlled Orbit",4,5))))))=2,"Unstable Orbit",IF(MIN(IF(X48="Critical Orbit",1,IF(X48="Unstable Orbit",2,IF(X48="Edge Orbit",3,IF(X48="Controlled Orbit",4,5)))),IF(AF48="None",9,IF(AF48="Critical Orbit",1,IF(AF48="Unstable Orbit",2,IF(AF48="Edge Orbit",3,IF(AF48="Controlled Orbit",4,5))))))=3,"Edge Orbit",IF(MIN(IF(X48="Critical Orbit",1,IF(X48="Unstable Orbit",2,IF(X48="Edge Orbit",3,IF(X48="Controlled Orbit",4,5)))),IF(AF48="None",9,IF(AF48="Critical Orbit",1,IF(AF48="Unstable Orbit",2,IF(AF48="Edge Orbit",3,IF(AF48="Controlled Orbit",4,5))))))=4,"Controlled Orbit","Stable Orbit")))))</f>
        <v/>
      </c>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12" t="str">
        <f aca="false">IF($A49="","",IF(AND(MAX(L49:R49)&gt;3,S49&lt;3),"Warning: EGI &gt;3 needs Tier 3+ evidence",IF(AND(C49="Autonomous Operations Zone",S49&lt;4),"Warning: Autonomous zone needs Tier 4 evidence","OK")))</f>
        <v/>
      </c>
      <c r="U49" s="10" t="str">
        <f aca="false">IF($A49="","",IF($D49="Basic",SUM(E49:K49)/35*100,SUMPRODUCT(E49:K49,INDEX('Weighted Scoring'!$B$5:$H$13,MATCH($B49,'Weighted Scoring'!$A$5:$A$13,0),0))/SUMPRODUCT(5,INDEX('Weighted Scoring'!$B$5:$H$13,MATCH($B49,'Weighted Scoring'!$A$5:$A$13,0),0))*100))</f>
        <v/>
      </c>
      <c r="V49" s="10" t="str">
        <f aca="false">IF($A49="","",IF($D49="Basic",SUM(L49:R49)/35*100,SUMPRODUCT(L49:R49,INDEX('Weighted Scoring'!$I$5:$O$13,MATCH($B49,'Weighted Scoring'!$A$5:$A$13,0),0))/SUMPRODUCT(5,INDEX('Weighted Scoring'!$I$5:$O$13,MATCH($B49,'Weighted Scoring'!$A$5:$A$13,0),0))*100))</f>
        <v/>
      </c>
      <c r="W49" s="10" t="str">
        <f aca="false">IF($A49="","",V49-U49)</f>
        <v/>
      </c>
      <c r="X49" s="12" t="str">
        <f aca="false">IF($A49="","",IF(W49&gt;=40,"Stable Orbit",IF(W49&gt;=15,"Controlled Orbit",IF(W49&gt;=-14,"Edge Orbit",IF(W49&gt;=-39,"Unstable Orbit","Critical Orbit")))))</f>
        <v/>
      </c>
      <c r="Y49" s="12" t="str">
        <f aca="false">IF($A49="","",INDEX('Deployment Gates'!$C$5:$C$9,MATCH(AH49,'Deployment Gates'!$A$5:$A$9,0)))</f>
        <v/>
      </c>
      <c r="Z49" s="3"/>
      <c r="AA49" s="12" t="str">
        <f aca="false">IF($A49="","",IF(OR(AH49="Edge Orbit",AH49="Unstable Orbit",AH49="Critical Orbit",H49&gt;=4,G49&gt;=4,E49&gt;=4,J49&gt;=4),"Yes","No"))</f>
        <v/>
      </c>
      <c r="AB49" s="12" t="str">
        <f aca="false">IF($A49="","",IF(W49&lt;0,"Yes","No"))</f>
        <v/>
      </c>
      <c r="AC49" s="12" t="str">
        <f aca="false">IF($A49="","",INDEX($L$4:$R$4,1,MATCH(MIN(L49:R49),L49:R49,0))&amp;IF(COUNTIF(L49:R49,MIN(L49:R49))&gt;1," (+"&amp;(COUNTIF(L49:R49,MIN(L49:R49))-1)&amp;" tied)",""))</f>
        <v/>
      </c>
      <c r="AD49" s="12" t="str">
        <f aca="false">IF($A49="","",INDEX($E$4:$K$4,1,MATCH(MAX(E49:K49),E49:K49,0))&amp;IF(COUNTIF(E49:K49,MAX(E49:K49))&gt;1," (+"&amp;(COUNTIF(E49:K49,MAX(E49:K49))-1)&amp;" tied)",""))</f>
        <v/>
      </c>
      <c r="AE49" s="12" t="str">
        <f aca="false">IF($A49="","",INDEX('Control Uplift Planner'!$B$5:$B$11,MATCH(INDEX($L$4:$R$4,1,MATCH(MIN(L49:R49),L49:R49,0)),'Control Uplift Planner'!$A$5:$A$11,0)))</f>
        <v/>
      </c>
      <c r="AF49" s="13" t="str">
        <f aca="false">IF($A49="","",IF(MIN(IF(AND(E49&gt;=4,H49&gt;=4),3,9),IF(AND(OR(C49="Governed Operations Zone",C49="Autonomous Operations Zone"),E49&gt;=3),IF(MIN(L49:N49)=0,2,IF(MIN(L49:N49)=1,3,9)),9),IF(AND(OR(C49="Governed Operations Zone",C49="Autonomous Operations Zone"),S49&lt;4),3,9))=9,"None",IF(MIN(IF(AND(E49&gt;=4,H49&gt;=4),3,9),IF(AND(OR(C49="Governed Operations Zone",C49="Autonomous Operations Zone"),E49&gt;=3),IF(MIN(L49:N49)=0,2,IF(MIN(L49:N49)=1,3,9)),9),IF(AND(OR(C49="Governed Operations Zone",C49="Autonomous Operations Zone"),S49&lt;4),3,9))=1,"Critical Orbit",IF(MIN(IF(AND(E49&gt;=4,H49&gt;=4),3,9),IF(AND(OR(C49="Governed Operations Zone",C49="Autonomous Operations Zone"),E49&gt;=3),IF(MIN(L49:N49)=0,2,IF(MIN(L49:N49)=1,3,9)),9),IF(AND(OR(C49="Governed Operations Zone",C49="Autonomous Operations Zone"),S49&lt;4),3,9))=2,"Unstable Orbit","Edge Orbit"))))</f>
        <v/>
      </c>
      <c r="AG49" s="14" t="str">
        <f aca="false">IF($A49="","",IF(IF(AND(E49&gt;=4,H49&gt;=4),"R1 concentrated force; ","")&amp;IF(AND(OR(C49="Governed Operations Zone",C49="Autonomous Operations Zone"),E49&gt;=3,MIN(L49:N49)&lt;=1),"R2 mandatory control "&amp;INDEX($L$4:$N$4,1,MATCH(MIN(L49:N49),L49:N49,0))&amp;"="&amp;MIN(L49:N49)&amp;"; ","")&amp;IF(AND(OR(C49="Governed Operations Zone",C49="Autonomous Operations Zone"),S49&lt;4),"R3 evidence tier "&amp;S49&amp;"&lt;4; ","")="","-",IF(AND(E49&gt;=4,H49&gt;=4),"R1 concentrated force; ","")&amp;IF(AND(OR(C49="Governed Operations Zone",C49="Autonomous Operations Zone"),E49&gt;=3,MIN(L49:N49)&lt;=1),"R2 mandatory control "&amp;INDEX($L$4:$N$4,1,MATCH(MIN(L49:N49),L49:N49,0))&amp;"="&amp;MIN(L49:N49)&amp;"; ","")&amp;IF(AND(OR(C49="Governed Operations Zone",C49="Autonomous Operations Zone"),S49&lt;4),"R3 evidence tier "&amp;S49&amp;"&lt;4; ","")))</f>
        <v/>
      </c>
      <c r="AH49" s="14" t="str">
        <f aca="false">IF($A49="","",IF(MIN(IF(X49="Critical Orbit",1,IF(X49="Unstable Orbit",2,IF(X49="Edge Orbit",3,IF(X49="Controlled Orbit",4,5)))),IF(AF49="None",9,IF(AF49="Critical Orbit",1,IF(AF49="Unstable Orbit",2,IF(AF49="Edge Orbit",3,IF(AF49="Controlled Orbit",4,5))))))=1,"Critical Orbit",IF(MIN(IF(X49="Critical Orbit",1,IF(X49="Unstable Orbit",2,IF(X49="Edge Orbit",3,IF(X49="Controlled Orbit",4,5)))),IF(AF49="None",9,IF(AF49="Critical Orbit",1,IF(AF49="Unstable Orbit",2,IF(AF49="Edge Orbit",3,IF(AF49="Controlled Orbit",4,5))))))=2,"Unstable Orbit",IF(MIN(IF(X49="Critical Orbit",1,IF(X49="Unstable Orbit",2,IF(X49="Edge Orbit",3,IF(X49="Controlled Orbit",4,5)))),IF(AF49="None",9,IF(AF49="Critical Orbit",1,IF(AF49="Unstable Orbit",2,IF(AF49="Edge Orbit",3,IF(AF49="Controlled Orbit",4,5))))))=3,"Edge Orbit",IF(MIN(IF(X49="Critical Orbit",1,IF(X49="Unstable Orbit",2,IF(X49="Edge Orbit",3,IF(X49="Controlled Orbit",4,5)))),IF(AF49="None",9,IF(AF49="Critical Orbit",1,IF(AF49="Unstable Orbit",2,IF(AF49="Edge Orbit",3,IF(AF49="Controlled Orbit",4,5))))))=4,"Controlled Orbit","Stable Orbit")))))</f>
        <v/>
      </c>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12" t="str">
        <f aca="false">IF($A50="","",IF(AND(MAX(L50:R50)&gt;3,S50&lt;3),"Warning: EGI &gt;3 needs Tier 3+ evidence",IF(AND(C50="Autonomous Operations Zone",S50&lt;4),"Warning: Autonomous zone needs Tier 4 evidence","OK")))</f>
        <v/>
      </c>
      <c r="U50" s="10" t="str">
        <f aca="false">IF($A50="","",IF($D50="Basic",SUM(E50:K50)/35*100,SUMPRODUCT(E50:K50,INDEX('Weighted Scoring'!$B$5:$H$13,MATCH($B50,'Weighted Scoring'!$A$5:$A$13,0),0))/SUMPRODUCT(5,INDEX('Weighted Scoring'!$B$5:$H$13,MATCH($B50,'Weighted Scoring'!$A$5:$A$13,0),0))*100))</f>
        <v/>
      </c>
      <c r="V50" s="10" t="str">
        <f aca="false">IF($A50="","",IF($D50="Basic",SUM(L50:R50)/35*100,SUMPRODUCT(L50:R50,INDEX('Weighted Scoring'!$I$5:$O$13,MATCH($B50,'Weighted Scoring'!$A$5:$A$13,0),0))/SUMPRODUCT(5,INDEX('Weighted Scoring'!$I$5:$O$13,MATCH($B50,'Weighted Scoring'!$A$5:$A$13,0),0))*100))</f>
        <v/>
      </c>
      <c r="W50" s="10" t="str">
        <f aca="false">IF($A50="","",V50-U50)</f>
        <v/>
      </c>
      <c r="X50" s="12" t="str">
        <f aca="false">IF($A50="","",IF(W50&gt;=40,"Stable Orbit",IF(W50&gt;=15,"Controlled Orbit",IF(W50&gt;=-14,"Edge Orbit",IF(W50&gt;=-39,"Unstable Orbit","Critical Orbit")))))</f>
        <v/>
      </c>
      <c r="Y50" s="12" t="str">
        <f aca="false">IF($A50="","",INDEX('Deployment Gates'!$C$5:$C$9,MATCH(AH50,'Deployment Gates'!$A$5:$A$9,0)))</f>
        <v/>
      </c>
      <c r="Z50" s="3"/>
      <c r="AA50" s="12" t="str">
        <f aca="false">IF($A50="","",IF(OR(AH50="Edge Orbit",AH50="Unstable Orbit",AH50="Critical Orbit",H50&gt;=4,G50&gt;=4,E50&gt;=4,J50&gt;=4),"Yes","No"))</f>
        <v/>
      </c>
      <c r="AB50" s="12" t="str">
        <f aca="false">IF($A50="","",IF(W50&lt;0,"Yes","No"))</f>
        <v/>
      </c>
      <c r="AC50" s="12" t="str">
        <f aca="false">IF($A50="","",INDEX($L$4:$R$4,1,MATCH(MIN(L50:R50),L50:R50,0))&amp;IF(COUNTIF(L50:R50,MIN(L50:R50))&gt;1," (+"&amp;(COUNTIF(L50:R50,MIN(L50:R50))-1)&amp;" tied)",""))</f>
        <v/>
      </c>
      <c r="AD50" s="12" t="str">
        <f aca="false">IF($A50="","",INDEX($E$4:$K$4,1,MATCH(MAX(E50:K50),E50:K50,0))&amp;IF(COUNTIF(E50:K50,MAX(E50:K50))&gt;1," (+"&amp;(COUNTIF(E50:K50,MAX(E50:K50))-1)&amp;" tied)",""))</f>
        <v/>
      </c>
      <c r="AE50" s="12" t="str">
        <f aca="false">IF($A50="","",INDEX('Control Uplift Planner'!$B$5:$B$11,MATCH(INDEX($L$4:$R$4,1,MATCH(MIN(L50:R50),L50:R50,0)),'Control Uplift Planner'!$A$5:$A$11,0)))</f>
        <v/>
      </c>
      <c r="AF50" s="13" t="str">
        <f aca="false">IF($A50="","",IF(MIN(IF(AND(E50&gt;=4,H50&gt;=4),3,9),IF(AND(OR(C50="Governed Operations Zone",C50="Autonomous Operations Zone"),E50&gt;=3),IF(MIN(L50:N50)=0,2,IF(MIN(L50:N50)=1,3,9)),9),IF(AND(OR(C50="Governed Operations Zone",C50="Autonomous Operations Zone"),S50&lt;4),3,9))=9,"None",IF(MIN(IF(AND(E50&gt;=4,H50&gt;=4),3,9),IF(AND(OR(C50="Governed Operations Zone",C50="Autonomous Operations Zone"),E50&gt;=3),IF(MIN(L50:N50)=0,2,IF(MIN(L50:N50)=1,3,9)),9),IF(AND(OR(C50="Governed Operations Zone",C50="Autonomous Operations Zone"),S50&lt;4),3,9))=1,"Critical Orbit",IF(MIN(IF(AND(E50&gt;=4,H50&gt;=4),3,9),IF(AND(OR(C50="Governed Operations Zone",C50="Autonomous Operations Zone"),E50&gt;=3),IF(MIN(L50:N50)=0,2,IF(MIN(L50:N50)=1,3,9)),9),IF(AND(OR(C50="Governed Operations Zone",C50="Autonomous Operations Zone"),S50&lt;4),3,9))=2,"Unstable Orbit","Edge Orbit"))))</f>
        <v/>
      </c>
      <c r="AG50" s="14" t="str">
        <f aca="false">IF($A50="","",IF(IF(AND(E50&gt;=4,H50&gt;=4),"R1 concentrated force; ","")&amp;IF(AND(OR(C50="Governed Operations Zone",C50="Autonomous Operations Zone"),E50&gt;=3,MIN(L50:N50)&lt;=1),"R2 mandatory control "&amp;INDEX($L$4:$N$4,1,MATCH(MIN(L50:N50),L50:N50,0))&amp;"="&amp;MIN(L50:N50)&amp;"; ","")&amp;IF(AND(OR(C50="Governed Operations Zone",C50="Autonomous Operations Zone"),S50&lt;4),"R3 evidence tier "&amp;S50&amp;"&lt;4; ","")="","-",IF(AND(E50&gt;=4,H50&gt;=4),"R1 concentrated force; ","")&amp;IF(AND(OR(C50="Governed Operations Zone",C50="Autonomous Operations Zone"),E50&gt;=3,MIN(L50:N50)&lt;=1),"R2 mandatory control "&amp;INDEX($L$4:$N$4,1,MATCH(MIN(L50:N50),L50:N50,0))&amp;"="&amp;MIN(L50:N50)&amp;"; ","")&amp;IF(AND(OR(C50="Governed Operations Zone",C50="Autonomous Operations Zone"),S50&lt;4),"R3 evidence tier "&amp;S50&amp;"&lt;4; ","")))</f>
        <v/>
      </c>
      <c r="AH50" s="14" t="str">
        <f aca="false">IF($A50="","",IF(MIN(IF(X50="Critical Orbit",1,IF(X50="Unstable Orbit",2,IF(X50="Edge Orbit",3,IF(X50="Controlled Orbit",4,5)))),IF(AF50="None",9,IF(AF50="Critical Orbit",1,IF(AF50="Unstable Orbit",2,IF(AF50="Edge Orbit",3,IF(AF50="Controlled Orbit",4,5))))))=1,"Critical Orbit",IF(MIN(IF(X50="Critical Orbit",1,IF(X50="Unstable Orbit",2,IF(X50="Edge Orbit",3,IF(X50="Controlled Orbit",4,5)))),IF(AF50="None",9,IF(AF50="Critical Orbit",1,IF(AF50="Unstable Orbit",2,IF(AF50="Edge Orbit",3,IF(AF50="Controlled Orbit",4,5))))))=2,"Unstable Orbit",IF(MIN(IF(X50="Critical Orbit",1,IF(X50="Unstable Orbit",2,IF(X50="Edge Orbit",3,IF(X50="Controlled Orbit",4,5)))),IF(AF50="None",9,IF(AF50="Critical Orbit",1,IF(AF50="Unstable Orbit",2,IF(AF50="Edge Orbit",3,IF(AF50="Controlled Orbit",4,5))))))=3,"Edge Orbit",IF(MIN(IF(X50="Critical Orbit",1,IF(X50="Unstable Orbit",2,IF(X50="Edge Orbit",3,IF(X50="Controlled Orbit",4,5)))),IF(AF50="None",9,IF(AF50="Critical Orbit",1,IF(AF50="Unstable Orbit",2,IF(AF50="Edge Orbit",3,IF(AF50="Controlled Orbit",4,5))))))=4,"Controlled Orbit","Stable Orbit")))))</f>
        <v/>
      </c>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12" t="str">
        <f aca="false">IF($A51="","",IF(AND(MAX(L51:R51)&gt;3,S51&lt;3),"Warning: EGI &gt;3 needs Tier 3+ evidence",IF(AND(C51="Autonomous Operations Zone",S51&lt;4),"Warning: Autonomous zone needs Tier 4 evidence","OK")))</f>
        <v/>
      </c>
      <c r="U51" s="10" t="str">
        <f aca="false">IF($A51="","",IF($D51="Basic",SUM(E51:K51)/35*100,SUMPRODUCT(E51:K51,INDEX('Weighted Scoring'!$B$5:$H$13,MATCH($B51,'Weighted Scoring'!$A$5:$A$13,0),0))/SUMPRODUCT(5,INDEX('Weighted Scoring'!$B$5:$H$13,MATCH($B51,'Weighted Scoring'!$A$5:$A$13,0),0))*100))</f>
        <v/>
      </c>
      <c r="V51" s="10" t="str">
        <f aca="false">IF($A51="","",IF($D51="Basic",SUM(L51:R51)/35*100,SUMPRODUCT(L51:R51,INDEX('Weighted Scoring'!$I$5:$O$13,MATCH($B51,'Weighted Scoring'!$A$5:$A$13,0),0))/SUMPRODUCT(5,INDEX('Weighted Scoring'!$I$5:$O$13,MATCH($B51,'Weighted Scoring'!$A$5:$A$13,0),0))*100))</f>
        <v/>
      </c>
      <c r="W51" s="10" t="str">
        <f aca="false">IF($A51="","",V51-U51)</f>
        <v/>
      </c>
      <c r="X51" s="12" t="str">
        <f aca="false">IF($A51="","",IF(W51&gt;=40,"Stable Orbit",IF(W51&gt;=15,"Controlled Orbit",IF(W51&gt;=-14,"Edge Orbit",IF(W51&gt;=-39,"Unstable Orbit","Critical Orbit")))))</f>
        <v/>
      </c>
      <c r="Y51" s="12" t="str">
        <f aca="false">IF($A51="","",INDEX('Deployment Gates'!$C$5:$C$9,MATCH(AH51,'Deployment Gates'!$A$5:$A$9,0)))</f>
        <v/>
      </c>
      <c r="Z51" s="3"/>
      <c r="AA51" s="12" t="str">
        <f aca="false">IF($A51="","",IF(OR(AH51="Edge Orbit",AH51="Unstable Orbit",AH51="Critical Orbit",H51&gt;=4,G51&gt;=4,E51&gt;=4,J51&gt;=4),"Yes","No"))</f>
        <v/>
      </c>
      <c r="AB51" s="12" t="str">
        <f aca="false">IF($A51="","",IF(W51&lt;0,"Yes","No"))</f>
        <v/>
      </c>
      <c r="AC51" s="12" t="str">
        <f aca="false">IF($A51="","",INDEX($L$4:$R$4,1,MATCH(MIN(L51:R51),L51:R51,0))&amp;IF(COUNTIF(L51:R51,MIN(L51:R51))&gt;1," (+"&amp;(COUNTIF(L51:R51,MIN(L51:R51))-1)&amp;" tied)",""))</f>
        <v/>
      </c>
      <c r="AD51" s="12" t="str">
        <f aca="false">IF($A51="","",INDEX($E$4:$K$4,1,MATCH(MAX(E51:K51),E51:K51,0))&amp;IF(COUNTIF(E51:K51,MAX(E51:K51))&gt;1," (+"&amp;(COUNTIF(E51:K51,MAX(E51:K51))-1)&amp;" tied)",""))</f>
        <v/>
      </c>
      <c r="AE51" s="12" t="str">
        <f aca="false">IF($A51="","",INDEX('Control Uplift Planner'!$B$5:$B$11,MATCH(INDEX($L$4:$R$4,1,MATCH(MIN(L51:R51),L51:R51,0)),'Control Uplift Planner'!$A$5:$A$11,0)))</f>
        <v/>
      </c>
      <c r="AF51" s="13" t="str">
        <f aca="false">IF($A51="","",IF(MIN(IF(AND(E51&gt;=4,H51&gt;=4),3,9),IF(AND(OR(C51="Governed Operations Zone",C51="Autonomous Operations Zone"),E51&gt;=3),IF(MIN(L51:N51)=0,2,IF(MIN(L51:N51)=1,3,9)),9),IF(AND(OR(C51="Governed Operations Zone",C51="Autonomous Operations Zone"),S51&lt;4),3,9))=9,"None",IF(MIN(IF(AND(E51&gt;=4,H51&gt;=4),3,9),IF(AND(OR(C51="Governed Operations Zone",C51="Autonomous Operations Zone"),E51&gt;=3),IF(MIN(L51:N51)=0,2,IF(MIN(L51:N51)=1,3,9)),9),IF(AND(OR(C51="Governed Operations Zone",C51="Autonomous Operations Zone"),S51&lt;4),3,9))=1,"Critical Orbit",IF(MIN(IF(AND(E51&gt;=4,H51&gt;=4),3,9),IF(AND(OR(C51="Governed Operations Zone",C51="Autonomous Operations Zone"),E51&gt;=3),IF(MIN(L51:N51)=0,2,IF(MIN(L51:N51)=1,3,9)),9),IF(AND(OR(C51="Governed Operations Zone",C51="Autonomous Operations Zone"),S51&lt;4),3,9))=2,"Unstable Orbit","Edge Orbit"))))</f>
        <v/>
      </c>
      <c r="AG51" s="14" t="str">
        <f aca="false">IF($A51="","",IF(IF(AND(E51&gt;=4,H51&gt;=4),"R1 concentrated force; ","")&amp;IF(AND(OR(C51="Governed Operations Zone",C51="Autonomous Operations Zone"),E51&gt;=3,MIN(L51:N51)&lt;=1),"R2 mandatory control "&amp;INDEX($L$4:$N$4,1,MATCH(MIN(L51:N51),L51:N51,0))&amp;"="&amp;MIN(L51:N51)&amp;"; ","")&amp;IF(AND(OR(C51="Governed Operations Zone",C51="Autonomous Operations Zone"),S51&lt;4),"R3 evidence tier "&amp;S51&amp;"&lt;4; ","")="","-",IF(AND(E51&gt;=4,H51&gt;=4),"R1 concentrated force; ","")&amp;IF(AND(OR(C51="Governed Operations Zone",C51="Autonomous Operations Zone"),E51&gt;=3,MIN(L51:N51)&lt;=1),"R2 mandatory control "&amp;INDEX($L$4:$N$4,1,MATCH(MIN(L51:N51),L51:N51,0))&amp;"="&amp;MIN(L51:N51)&amp;"; ","")&amp;IF(AND(OR(C51="Governed Operations Zone",C51="Autonomous Operations Zone"),S51&lt;4),"R3 evidence tier "&amp;S51&amp;"&lt;4; ","")))</f>
        <v/>
      </c>
      <c r="AH51" s="14" t="str">
        <f aca="false">IF($A51="","",IF(MIN(IF(X51="Critical Orbit",1,IF(X51="Unstable Orbit",2,IF(X51="Edge Orbit",3,IF(X51="Controlled Orbit",4,5)))),IF(AF51="None",9,IF(AF51="Critical Orbit",1,IF(AF51="Unstable Orbit",2,IF(AF51="Edge Orbit",3,IF(AF51="Controlled Orbit",4,5))))))=1,"Critical Orbit",IF(MIN(IF(X51="Critical Orbit",1,IF(X51="Unstable Orbit",2,IF(X51="Edge Orbit",3,IF(X51="Controlled Orbit",4,5)))),IF(AF51="None",9,IF(AF51="Critical Orbit",1,IF(AF51="Unstable Orbit",2,IF(AF51="Edge Orbit",3,IF(AF51="Controlled Orbit",4,5))))))=2,"Unstable Orbit",IF(MIN(IF(X51="Critical Orbit",1,IF(X51="Unstable Orbit",2,IF(X51="Edge Orbit",3,IF(X51="Controlled Orbit",4,5)))),IF(AF51="None",9,IF(AF51="Critical Orbit",1,IF(AF51="Unstable Orbit",2,IF(AF51="Edge Orbit",3,IF(AF51="Controlled Orbit",4,5))))))=3,"Edge Orbit",IF(MIN(IF(X51="Critical Orbit",1,IF(X51="Unstable Orbit",2,IF(X51="Edge Orbit",3,IF(X51="Controlled Orbit",4,5)))),IF(AF51="None",9,IF(AF51="Critical Orbit",1,IF(AF51="Unstable Orbit",2,IF(AF51="Edge Orbit",3,IF(AF51="Controlled Orbit",4,5))))))=4,"Controlled Orbit","Stable Orbit")))))</f>
        <v/>
      </c>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12" t="str">
        <f aca="false">IF($A52="","",IF(AND(MAX(L52:R52)&gt;3,S52&lt;3),"Warning: EGI &gt;3 needs Tier 3+ evidence",IF(AND(C52="Autonomous Operations Zone",S52&lt;4),"Warning: Autonomous zone needs Tier 4 evidence","OK")))</f>
        <v/>
      </c>
      <c r="U52" s="10" t="str">
        <f aca="false">IF($A52="","",IF($D52="Basic",SUM(E52:K52)/35*100,SUMPRODUCT(E52:K52,INDEX('Weighted Scoring'!$B$5:$H$13,MATCH($B52,'Weighted Scoring'!$A$5:$A$13,0),0))/SUMPRODUCT(5,INDEX('Weighted Scoring'!$B$5:$H$13,MATCH($B52,'Weighted Scoring'!$A$5:$A$13,0),0))*100))</f>
        <v/>
      </c>
      <c r="V52" s="10" t="str">
        <f aca="false">IF($A52="","",IF($D52="Basic",SUM(L52:R52)/35*100,SUMPRODUCT(L52:R52,INDEX('Weighted Scoring'!$I$5:$O$13,MATCH($B52,'Weighted Scoring'!$A$5:$A$13,0),0))/SUMPRODUCT(5,INDEX('Weighted Scoring'!$I$5:$O$13,MATCH($B52,'Weighted Scoring'!$A$5:$A$13,0),0))*100))</f>
        <v/>
      </c>
      <c r="W52" s="10" t="str">
        <f aca="false">IF($A52="","",V52-U52)</f>
        <v/>
      </c>
      <c r="X52" s="12" t="str">
        <f aca="false">IF($A52="","",IF(W52&gt;=40,"Stable Orbit",IF(W52&gt;=15,"Controlled Orbit",IF(W52&gt;=-14,"Edge Orbit",IF(W52&gt;=-39,"Unstable Orbit","Critical Orbit")))))</f>
        <v/>
      </c>
      <c r="Y52" s="12" t="str">
        <f aca="false">IF($A52="","",INDEX('Deployment Gates'!$C$5:$C$9,MATCH(AH52,'Deployment Gates'!$A$5:$A$9,0)))</f>
        <v/>
      </c>
      <c r="Z52" s="3"/>
      <c r="AA52" s="12" t="str">
        <f aca="false">IF($A52="","",IF(OR(AH52="Edge Orbit",AH52="Unstable Orbit",AH52="Critical Orbit",H52&gt;=4,G52&gt;=4,E52&gt;=4,J52&gt;=4),"Yes","No"))</f>
        <v/>
      </c>
      <c r="AB52" s="12" t="str">
        <f aca="false">IF($A52="","",IF(W52&lt;0,"Yes","No"))</f>
        <v/>
      </c>
      <c r="AC52" s="12" t="str">
        <f aca="false">IF($A52="","",INDEX($L$4:$R$4,1,MATCH(MIN(L52:R52),L52:R52,0))&amp;IF(COUNTIF(L52:R52,MIN(L52:R52))&gt;1," (+"&amp;(COUNTIF(L52:R52,MIN(L52:R52))-1)&amp;" tied)",""))</f>
        <v/>
      </c>
      <c r="AD52" s="12" t="str">
        <f aca="false">IF($A52="","",INDEX($E$4:$K$4,1,MATCH(MAX(E52:K52),E52:K52,0))&amp;IF(COUNTIF(E52:K52,MAX(E52:K52))&gt;1," (+"&amp;(COUNTIF(E52:K52,MAX(E52:K52))-1)&amp;" tied)",""))</f>
        <v/>
      </c>
      <c r="AE52" s="12" t="str">
        <f aca="false">IF($A52="","",INDEX('Control Uplift Planner'!$B$5:$B$11,MATCH(INDEX($L$4:$R$4,1,MATCH(MIN(L52:R52),L52:R52,0)),'Control Uplift Planner'!$A$5:$A$11,0)))</f>
        <v/>
      </c>
      <c r="AF52" s="13" t="str">
        <f aca="false">IF($A52="","",IF(MIN(IF(AND(E52&gt;=4,H52&gt;=4),3,9),IF(AND(OR(C52="Governed Operations Zone",C52="Autonomous Operations Zone"),E52&gt;=3),IF(MIN(L52:N52)=0,2,IF(MIN(L52:N52)=1,3,9)),9),IF(AND(OR(C52="Governed Operations Zone",C52="Autonomous Operations Zone"),S52&lt;4),3,9))=9,"None",IF(MIN(IF(AND(E52&gt;=4,H52&gt;=4),3,9),IF(AND(OR(C52="Governed Operations Zone",C52="Autonomous Operations Zone"),E52&gt;=3),IF(MIN(L52:N52)=0,2,IF(MIN(L52:N52)=1,3,9)),9),IF(AND(OR(C52="Governed Operations Zone",C52="Autonomous Operations Zone"),S52&lt;4),3,9))=1,"Critical Orbit",IF(MIN(IF(AND(E52&gt;=4,H52&gt;=4),3,9),IF(AND(OR(C52="Governed Operations Zone",C52="Autonomous Operations Zone"),E52&gt;=3),IF(MIN(L52:N52)=0,2,IF(MIN(L52:N52)=1,3,9)),9),IF(AND(OR(C52="Governed Operations Zone",C52="Autonomous Operations Zone"),S52&lt;4),3,9))=2,"Unstable Orbit","Edge Orbit"))))</f>
        <v/>
      </c>
      <c r="AG52" s="14" t="str">
        <f aca="false">IF($A52="","",IF(IF(AND(E52&gt;=4,H52&gt;=4),"R1 concentrated force; ","")&amp;IF(AND(OR(C52="Governed Operations Zone",C52="Autonomous Operations Zone"),E52&gt;=3,MIN(L52:N52)&lt;=1),"R2 mandatory control "&amp;INDEX($L$4:$N$4,1,MATCH(MIN(L52:N52),L52:N52,0))&amp;"="&amp;MIN(L52:N52)&amp;"; ","")&amp;IF(AND(OR(C52="Governed Operations Zone",C52="Autonomous Operations Zone"),S52&lt;4),"R3 evidence tier "&amp;S52&amp;"&lt;4; ","")="","-",IF(AND(E52&gt;=4,H52&gt;=4),"R1 concentrated force; ","")&amp;IF(AND(OR(C52="Governed Operations Zone",C52="Autonomous Operations Zone"),E52&gt;=3,MIN(L52:N52)&lt;=1),"R2 mandatory control "&amp;INDEX($L$4:$N$4,1,MATCH(MIN(L52:N52),L52:N52,0))&amp;"="&amp;MIN(L52:N52)&amp;"; ","")&amp;IF(AND(OR(C52="Governed Operations Zone",C52="Autonomous Operations Zone"),S52&lt;4),"R3 evidence tier "&amp;S52&amp;"&lt;4; ","")))</f>
        <v/>
      </c>
      <c r="AH52" s="14" t="str">
        <f aca="false">IF($A52="","",IF(MIN(IF(X52="Critical Orbit",1,IF(X52="Unstable Orbit",2,IF(X52="Edge Orbit",3,IF(X52="Controlled Orbit",4,5)))),IF(AF52="None",9,IF(AF52="Critical Orbit",1,IF(AF52="Unstable Orbit",2,IF(AF52="Edge Orbit",3,IF(AF52="Controlled Orbit",4,5))))))=1,"Critical Orbit",IF(MIN(IF(X52="Critical Orbit",1,IF(X52="Unstable Orbit",2,IF(X52="Edge Orbit",3,IF(X52="Controlled Orbit",4,5)))),IF(AF52="None",9,IF(AF52="Critical Orbit",1,IF(AF52="Unstable Orbit",2,IF(AF52="Edge Orbit",3,IF(AF52="Controlled Orbit",4,5))))))=2,"Unstable Orbit",IF(MIN(IF(X52="Critical Orbit",1,IF(X52="Unstable Orbit",2,IF(X52="Edge Orbit",3,IF(X52="Controlled Orbit",4,5)))),IF(AF52="None",9,IF(AF52="Critical Orbit",1,IF(AF52="Unstable Orbit",2,IF(AF52="Edge Orbit",3,IF(AF52="Controlled Orbit",4,5))))))=3,"Edge Orbit",IF(MIN(IF(X52="Critical Orbit",1,IF(X52="Unstable Orbit",2,IF(X52="Edge Orbit",3,IF(X52="Controlled Orbit",4,5)))),IF(AF52="None",9,IF(AF52="Critical Orbit",1,IF(AF52="Unstable Orbit",2,IF(AF52="Edge Orbit",3,IF(AF52="Controlled Orbit",4,5))))))=4,"Controlled Orbit","Stable Orbit")))))</f>
        <v/>
      </c>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12" t="str">
        <f aca="false">IF($A53="","",IF(AND(MAX(L53:R53)&gt;3,S53&lt;3),"Warning: EGI &gt;3 needs Tier 3+ evidence",IF(AND(C53="Autonomous Operations Zone",S53&lt;4),"Warning: Autonomous zone needs Tier 4 evidence","OK")))</f>
        <v/>
      </c>
      <c r="U53" s="10" t="str">
        <f aca="false">IF($A53="","",IF($D53="Basic",SUM(E53:K53)/35*100,SUMPRODUCT(E53:K53,INDEX('Weighted Scoring'!$B$5:$H$13,MATCH($B53,'Weighted Scoring'!$A$5:$A$13,0),0))/SUMPRODUCT(5,INDEX('Weighted Scoring'!$B$5:$H$13,MATCH($B53,'Weighted Scoring'!$A$5:$A$13,0),0))*100))</f>
        <v/>
      </c>
      <c r="V53" s="10" t="str">
        <f aca="false">IF($A53="","",IF($D53="Basic",SUM(L53:R53)/35*100,SUMPRODUCT(L53:R53,INDEX('Weighted Scoring'!$I$5:$O$13,MATCH($B53,'Weighted Scoring'!$A$5:$A$13,0),0))/SUMPRODUCT(5,INDEX('Weighted Scoring'!$I$5:$O$13,MATCH($B53,'Weighted Scoring'!$A$5:$A$13,0),0))*100))</f>
        <v/>
      </c>
      <c r="W53" s="10" t="str">
        <f aca="false">IF($A53="","",V53-U53)</f>
        <v/>
      </c>
      <c r="X53" s="12" t="str">
        <f aca="false">IF($A53="","",IF(W53&gt;=40,"Stable Orbit",IF(W53&gt;=15,"Controlled Orbit",IF(W53&gt;=-14,"Edge Orbit",IF(W53&gt;=-39,"Unstable Orbit","Critical Orbit")))))</f>
        <v/>
      </c>
      <c r="Y53" s="12" t="str">
        <f aca="false">IF($A53="","",INDEX('Deployment Gates'!$C$5:$C$9,MATCH(AH53,'Deployment Gates'!$A$5:$A$9,0)))</f>
        <v/>
      </c>
      <c r="Z53" s="3"/>
      <c r="AA53" s="12" t="str">
        <f aca="false">IF($A53="","",IF(OR(AH53="Edge Orbit",AH53="Unstable Orbit",AH53="Critical Orbit",H53&gt;=4,G53&gt;=4,E53&gt;=4,J53&gt;=4),"Yes","No"))</f>
        <v/>
      </c>
      <c r="AB53" s="12" t="str">
        <f aca="false">IF($A53="","",IF(W53&lt;0,"Yes","No"))</f>
        <v/>
      </c>
      <c r="AC53" s="12" t="str">
        <f aca="false">IF($A53="","",INDEX($L$4:$R$4,1,MATCH(MIN(L53:R53),L53:R53,0))&amp;IF(COUNTIF(L53:R53,MIN(L53:R53))&gt;1," (+"&amp;(COUNTIF(L53:R53,MIN(L53:R53))-1)&amp;" tied)",""))</f>
        <v/>
      </c>
      <c r="AD53" s="12" t="str">
        <f aca="false">IF($A53="","",INDEX($E$4:$K$4,1,MATCH(MAX(E53:K53),E53:K53,0))&amp;IF(COUNTIF(E53:K53,MAX(E53:K53))&gt;1," (+"&amp;(COUNTIF(E53:K53,MAX(E53:K53))-1)&amp;" tied)",""))</f>
        <v/>
      </c>
      <c r="AE53" s="12" t="str">
        <f aca="false">IF($A53="","",INDEX('Control Uplift Planner'!$B$5:$B$11,MATCH(INDEX($L$4:$R$4,1,MATCH(MIN(L53:R53),L53:R53,0)),'Control Uplift Planner'!$A$5:$A$11,0)))</f>
        <v/>
      </c>
      <c r="AF53" s="13" t="str">
        <f aca="false">IF($A53="","",IF(MIN(IF(AND(E53&gt;=4,H53&gt;=4),3,9),IF(AND(OR(C53="Governed Operations Zone",C53="Autonomous Operations Zone"),E53&gt;=3),IF(MIN(L53:N53)=0,2,IF(MIN(L53:N53)=1,3,9)),9),IF(AND(OR(C53="Governed Operations Zone",C53="Autonomous Operations Zone"),S53&lt;4),3,9))=9,"None",IF(MIN(IF(AND(E53&gt;=4,H53&gt;=4),3,9),IF(AND(OR(C53="Governed Operations Zone",C53="Autonomous Operations Zone"),E53&gt;=3),IF(MIN(L53:N53)=0,2,IF(MIN(L53:N53)=1,3,9)),9),IF(AND(OR(C53="Governed Operations Zone",C53="Autonomous Operations Zone"),S53&lt;4),3,9))=1,"Critical Orbit",IF(MIN(IF(AND(E53&gt;=4,H53&gt;=4),3,9),IF(AND(OR(C53="Governed Operations Zone",C53="Autonomous Operations Zone"),E53&gt;=3),IF(MIN(L53:N53)=0,2,IF(MIN(L53:N53)=1,3,9)),9),IF(AND(OR(C53="Governed Operations Zone",C53="Autonomous Operations Zone"),S53&lt;4),3,9))=2,"Unstable Orbit","Edge Orbit"))))</f>
        <v/>
      </c>
      <c r="AG53" s="14" t="str">
        <f aca="false">IF($A53="","",IF(IF(AND(E53&gt;=4,H53&gt;=4),"R1 concentrated force; ","")&amp;IF(AND(OR(C53="Governed Operations Zone",C53="Autonomous Operations Zone"),E53&gt;=3,MIN(L53:N53)&lt;=1),"R2 mandatory control "&amp;INDEX($L$4:$N$4,1,MATCH(MIN(L53:N53),L53:N53,0))&amp;"="&amp;MIN(L53:N53)&amp;"; ","")&amp;IF(AND(OR(C53="Governed Operations Zone",C53="Autonomous Operations Zone"),S53&lt;4),"R3 evidence tier "&amp;S53&amp;"&lt;4; ","")="","-",IF(AND(E53&gt;=4,H53&gt;=4),"R1 concentrated force; ","")&amp;IF(AND(OR(C53="Governed Operations Zone",C53="Autonomous Operations Zone"),E53&gt;=3,MIN(L53:N53)&lt;=1),"R2 mandatory control "&amp;INDEX($L$4:$N$4,1,MATCH(MIN(L53:N53),L53:N53,0))&amp;"="&amp;MIN(L53:N53)&amp;"; ","")&amp;IF(AND(OR(C53="Governed Operations Zone",C53="Autonomous Operations Zone"),S53&lt;4),"R3 evidence tier "&amp;S53&amp;"&lt;4; ","")))</f>
        <v/>
      </c>
      <c r="AH53" s="14" t="str">
        <f aca="false">IF($A53="","",IF(MIN(IF(X53="Critical Orbit",1,IF(X53="Unstable Orbit",2,IF(X53="Edge Orbit",3,IF(X53="Controlled Orbit",4,5)))),IF(AF53="None",9,IF(AF53="Critical Orbit",1,IF(AF53="Unstable Orbit",2,IF(AF53="Edge Orbit",3,IF(AF53="Controlled Orbit",4,5))))))=1,"Critical Orbit",IF(MIN(IF(X53="Critical Orbit",1,IF(X53="Unstable Orbit",2,IF(X53="Edge Orbit",3,IF(X53="Controlled Orbit",4,5)))),IF(AF53="None",9,IF(AF53="Critical Orbit",1,IF(AF53="Unstable Orbit",2,IF(AF53="Edge Orbit",3,IF(AF53="Controlled Orbit",4,5))))))=2,"Unstable Orbit",IF(MIN(IF(X53="Critical Orbit",1,IF(X53="Unstable Orbit",2,IF(X53="Edge Orbit",3,IF(X53="Controlled Orbit",4,5)))),IF(AF53="None",9,IF(AF53="Critical Orbit",1,IF(AF53="Unstable Orbit",2,IF(AF53="Edge Orbit",3,IF(AF53="Controlled Orbit",4,5))))))=3,"Edge Orbit",IF(MIN(IF(X53="Critical Orbit",1,IF(X53="Unstable Orbit",2,IF(X53="Edge Orbit",3,IF(X53="Controlled Orbit",4,5)))),IF(AF53="None",9,IF(AF53="Critical Orbit",1,IF(AF53="Unstable Orbit",2,IF(AF53="Edge Orbit",3,IF(AF53="Controlled Orbit",4,5))))))=4,"Controlled Orbit","Stable Orbit")))))</f>
        <v/>
      </c>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12" t="str">
        <f aca="false">IF($A54="","",IF(AND(MAX(L54:R54)&gt;3,S54&lt;3),"Warning: EGI &gt;3 needs Tier 3+ evidence",IF(AND(C54="Autonomous Operations Zone",S54&lt;4),"Warning: Autonomous zone needs Tier 4 evidence","OK")))</f>
        <v/>
      </c>
      <c r="U54" s="10" t="str">
        <f aca="false">IF($A54="","",IF($D54="Basic",SUM(E54:K54)/35*100,SUMPRODUCT(E54:K54,INDEX('Weighted Scoring'!$B$5:$H$13,MATCH($B54,'Weighted Scoring'!$A$5:$A$13,0),0))/SUMPRODUCT(5,INDEX('Weighted Scoring'!$B$5:$H$13,MATCH($B54,'Weighted Scoring'!$A$5:$A$13,0),0))*100))</f>
        <v/>
      </c>
      <c r="V54" s="10" t="str">
        <f aca="false">IF($A54="","",IF($D54="Basic",SUM(L54:R54)/35*100,SUMPRODUCT(L54:R54,INDEX('Weighted Scoring'!$I$5:$O$13,MATCH($B54,'Weighted Scoring'!$A$5:$A$13,0),0))/SUMPRODUCT(5,INDEX('Weighted Scoring'!$I$5:$O$13,MATCH($B54,'Weighted Scoring'!$A$5:$A$13,0),0))*100))</f>
        <v/>
      </c>
      <c r="W54" s="10" t="str">
        <f aca="false">IF($A54="","",V54-U54)</f>
        <v/>
      </c>
      <c r="X54" s="12" t="str">
        <f aca="false">IF($A54="","",IF(W54&gt;=40,"Stable Orbit",IF(W54&gt;=15,"Controlled Orbit",IF(W54&gt;=-14,"Edge Orbit",IF(W54&gt;=-39,"Unstable Orbit","Critical Orbit")))))</f>
        <v/>
      </c>
      <c r="Y54" s="12" t="str">
        <f aca="false">IF($A54="","",INDEX('Deployment Gates'!$C$5:$C$9,MATCH(AH54,'Deployment Gates'!$A$5:$A$9,0)))</f>
        <v/>
      </c>
      <c r="Z54" s="3"/>
      <c r="AA54" s="12" t="str">
        <f aca="false">IF($A54="","",IF(OR(AH54="Edge Orbit",AH54="Unstable Orbit",AH54="Critical Orbit",H54&gt;=4,G54&gt;=4,E54&gt;=4,J54&gt;=4),"Yes","No"))</f>
        <v/>
      </c>
      <c r="AB54" s="12" t="str">
        <f aca="false">IF($A54="","",IF(W54&lt;0,"Yes","No"))</f>
        <v/>
      </c>
      <c r="AC54" s="12" t="str">
        <f aca="false">IF($A54="","",INDEX($L$4:$R$4,1,MATCH(MIN(L54:R54),L54:R54,0))&amp;IF(COUNTIF(L54:R54,MIN(L54:R54))&gt;1," (+"&amp;(COUNTIF(L54:R54,MIN(L54:R54))-1)&amp;" tied)",""))</f>
        <v/>
      </c>
      <c r="AD54" s="12" t="str">
        <f aca="false">IF($A54="","",INDEX($E$4:$K$4,1,MATCH(MAX(E54:K54),E54:K54,0))&amp;IF(COUNTIF(E54:K54,MAX(E54:K54))&gt;1," (+"&amp;(COUNTIF(E54:K54,MAX(E54:K54))-1)&amp;" tied)",""))</f>
        <v/>
      </c>
      <c r="AE54" s="12" t="str">
        <f aca="false">IF($A54="","",INDEX('Control Uplift Planner'!$B$5:$B$11,MATCH(INDEX($L$4:$R$4,1,MATCH(MIN(L54:R54),L54:R54,0)),'Control Uplift Planner'!$A$5:$A$11,0)))</f>
        <v/>
      </c>
      <c r="AF54" s="13" t="str">
        <f aca="false">IF($A54="","",IF(MIN(IF(AND(E54&gt;=4,H54&gt;=4),3,9),IF(AND(OR(C54="Governed Operations Zone",C54="Autonomous Operations Zone"),E54&gt;=3),IF(MIN(L54:N54)=0,2,IF(MIN(L54:N54)=1,3,9)),9),IF(AND(OR(C54="Governed Operations Zone",C54="Autonomous Operations Zone"),S54&lt;4),3,9))=9,"None",IF(MIN(IF(AND(E54&gt;=4,H54&gt;=4),3,9),IF(AND(OR(C54="Governed Operations Zone",C54="Autonomous Operations Zone"),E54&gt;=3),IF(MIN(L54:N54)=0,2,IF(MIN(L54:N54)=1,3,9)),9),IF(AND(OR(C54="Governed Operations Zone",C54="Autonomous Operations Zone"),S54&lt;4),3,9))=1,"Critical Orbit",IF(MIN(IF(AND(E54&gt;=4,H54&gt;=4),3,9),IF(AND(OR(C54="Governed Operations Zone",C54="Autonomous Operations Zone"),E54&gt;=3),IF(MIN(L54:N54)=0,2,IF(MIN(L54:N54)=1,3,9)),9),IF(AND(OR(C54="Governed Operations Zone",C54="Autonomous Operations Zone"),S54&lt;4),3,9))=2,"Unstable Orbit","Edge Orbit"))))</f>
        <v/>
      </c>
      <c r="AG54" s="14" t="str">
        <f aca="false">IF($A54="","",IF(IF(AND(E54&gt;=4,H54&gt;=4),"R1 concentrated force; ","")&amp;IF(AND(OR(C54="Governed Operations Zone",C54="Autonomous Operations Zone"),E54&gt;=3,MIN(L54:N54)&lt;=1),"R2 mandatory control "&amp;INDEX($L$4:$N$4,1,MATCH(MIN(L54:N54),L54:N54,0))&amp;"="&amp;MIN(L54:N54)&amp;"; ","")&amp;IF(AND(OR(C54="Governed Operations Zone",C54="Autonomous Operations Zone"),S54&lt;4),"R3 evidence tier "&amp;S54&amp;"&lt;4; ","")="","-",IF(AND(E54&gt;=4,H54&gt;=4),"R1 concentrated force; ","")&amp;IF(AND(OR(C54="Governed Operations Zone",C54="Autonomous Operations Zone"),E54&gt;=3,MIN(L54:N54)&lt;=1),"R2 mandatory control "&amp;INDEX($L$4:$N$4,1,MATCH(MIN(L54:N54),L54:N54,0))&amp;"="&amp;MIN(L54:N54)&amp;"; ","")&amp;IF(AND(OR(C54="Governed Operations Zone",C54="Autonomous Operations Zone"),S54&lt;4),"R3 evidence tier "&amp;S54&amp;"&lt;4; ","")))</f>
        <v/>
      </c>
      <c r="AH54" s="14" t="str">
        <f aca="false">IF($A54="","",IF(MIN(IF(X54="Critical Orbit",1,IF(X54="Unstable Orbit",2,IF(X54="Edge Orbit",3,IF(X54="Controlled Orbit",4,5)))),IF(AF54="None",9,IF(AF54="Critical Orbit",1,IF(AF54="Unstable Orbit",2,IF(AF54="Edge Orbit",3,IF(AF54="Controlled Orbit",4,5))))))=1,"Critical Orbit",IF(MIN(IF(X54="Critical Orbit",1,IF(X54="Unstable Orbit",2,IF(X54="Edge Orbit",3,IF(X54="Controlled Orbit",4,5)))),IF(AF54="None",9,IF(AF54="Critical Orbit",1,IF(AF54="Unstable Orbit",2,IF(AF54="Edge Orbit",3,IF(AF54="Controlled Orbit",4,5))))))=2,"Unstable Orbit",IF(MIN(IF(X54="Critical Orbit",1,IF(X54="Unstable Orbit",2,IF(X54="Edge Orbit",3,IF(X54="Controlled Orbit",4,5)))),IF(AF54="None",9,IF(AF54="Critical Orbit",1,IF(AF54="Unstable Orbit",2,IF(AF54="Edge Orbit",3,IF(AF54="Controlled Orbit",4,5))))))=3,"Edge Orbit",IF(MIN(IF(X54="Critical Orbit",1,IF(X54="Unstable Orbit",2,IF(X54="Edge Orbit",3,IF(X54="Controlled Orbit",4,5)))),IF(AF54="None",9,IF(AF54="Critical Orbit",1,IF(AF54="Unstable Orbit",2,IF(AF54="Edge Orbit",3,IF(AF54="Controlled Orbit",4,5))))))=4,"Controlled Orbit","Stable Orbit")))))</f>
        <v/>
      </c>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12" t="str">
        <f aca="false">IF($A55="","",IF(AND(MAX(L55:R55)&gt;3,S55&lt;3),"Warning: EGI &gt;3 needs Tier 3+ evidence",IF(AND(C55="Autonomous Operations Zone",S55&lt;4),"Warning: Autonomous zone needs Tier 4 evidence","OK")))</f>
        <v/>
      </c>
      <c r="U55" s="10" t="str">
        <f aca="false">IF($A55="","",IF($D55="Basic",SUM(E55:K55)/35*100,SUMPRODUCT(E55:K55,INDEX('Weighted Scoring'!$B$5:$H$13,MATCH($B55,'Weighted Scoring'!$A$5:$A$13,0),0))/SUMPRODUCT(5,INDEX('Weighted Scoring'!$B$5:$H$13,MATCH($B55,'Weighted Scoring'!$A$5:$A$13,0),0))*100))</f>
        <v/>
      </c>
      <c r="V55" s="10" t="str">
        <f aca="false">IF($A55="","",IF($D55="Basic",SUM(L55:R55)/35*100,SUMPRODUCT(L55:R55,INDEX('Weighted Scoring'!$I$5:$O$13,MATCH($B55,'Weighted Scoring'!$A$5:$A$13,0),0))/SUMPRODUCT(5,INDEX('Weighted Scoring'!$I$5:$O$13,MATCH($B55,'Weighted Scoring'!$A$5:$A$13,0),0))*100))</f>
        <v/>
      </c>
      <c r="W55" s="10" t="str">
        <f aca="false">IF($A55="","",V55-U55)</f>
        <v/>
      </c>
      <c r="X55" s="12" t="str">
        <f aca="false">IF($A55="","",IF(W55&gt;=40,"Stable Orbit",IF(W55&gt;=15,"Controlled Orbit",IF(W55&gt;=-14,"Edge Orbit",IF(W55&gt;=-39,"Unstable Orbit","Critical Orbit")))))</f>
        <v/>
      </c>
      <c r="Y55" s="12" t="str">
        <f aca="false">IF($A55="","",INDEX('Deployment Gates'!$C$5:$C$9,MATCH(AH55,'Deployment Gates'!$A$5:$A$9,0)))</f>
        <v/>
      </c>
      <c r="Z55" s="3"/>
      <c r="AA55" s="12" t="str">
        <f aca="false">IF($A55="","",IF(OR(AH55="Edge Orbit",AH55="Unstable Orbit",AH55="Critical Orbit",H55&gt;=4,G55&gt;=4,E55&gt;=4,J55&gt;=4),"Yes","No"))</f>
        <v/>
      </c>
      <c r="AB55" s="12" t="str">
        <f aca="false">IF($A55="","",IF(W55&lt;0,"Yes","No"))</f>
        <v/>
      </c>
      <c r="AC55" s="12" t="str">
        <f aca="false">IF($A55="","",INDEX($L$4:$R$4,1,MATCH(MIN(L55:R55),L55:R55,0))&amp;IF(COUNTIF(L55:R55,MIN(L55:R55))&gt;1," (+"&amp;(COUNTIF(L55:R55,MIN(L55:R55))-1)&amp;" tied)",""))</f>
        <v/>
      </c>
      <c r="AD55" s="12" t="str">
        <f aca="false">IF($A55="","",INDEX($E$4:$K$4,1,MATCH(MAX(E55:K55),E55:K55,0))&amp;IF(COUNTIF(E55:K55,MAX(E55:K55))&gt;1," (+"&amp;(COUNTIF(E55:K55,MAX(E55:K55))-1)&amp;" tied)",""))</f>
        <v/>
      </c>
      <c r="AE55" s="12" t="str">
        <f aca="false">IF($A55="","",INDEX('Control Uplift Planner'!$B$5:$B$11,MATCH(INDEX($L$4:$R$4,1,MATCH(MIN(L55:R55),L55:R55,0)),'Control Uplift Planner'!$A$5:$A$11,0)))</f>
        <v/>
      </c>
      <c r="AF55" s="13" t="str">
        <f aca="false">IF($A55="","",IF(MIN(IF(AND(E55&gt;=4,H55&gt;=4),3,9),IF(AND(OR(C55="Governed Operations Zone",C55="Autonomous Operations Zone"),E55&gt;=3),IF(MIN(L55:N55)=0,2,IF(MIN(L55:N55)=1,3,9)),9),IF(AND(OR(C55="Governed Operations Zone",C55="Autonomous Operations Zone"),S55&lt;4),3,9))=9,"None",IF(MIN(IF(AND(E55&gt;=4,H55&gt;=4),3,9),IF(AND(OR(C55="Governed Operations Zone",C55="Autonomous Operations Zone"),E55&gt;=3),IF(MIN(L55:N55)=0,2,IF(MIN(L55:N55)=1,3,9)),9),IF(AND(OR(C55="Governed Operations Zone",C55="Autonomous Operations Zone"),S55&lt;4),3,9))=1,"Critical Orbit",IF(MIN(IF(AND(E55&gt;=4,H55&gt;=4),3,9),IF(AND(OR(C55="Governed Operations Zone",C55="Autonomous Operations Zone"),E55&gt;=3),IF(MIN(L55:N55)=0,2,IF(MIN(L55:N55)=1,3,9)),9),IF(AND(OR(C55="Governed Operations Zone",C55="Autonomous Operations Zone"),S55&lt;4),3,9))=2,"Unstable Orbit","Edge Orbit"))))</f>
        <v/>
      </c>
      <c r="AG55" s="14" t="str">
        <f aca="false">IF($A55="","",IF(IF(AND(E55&gt;=4,H55&gt;=4),"R1 concentrated force; ","")&amp;IF(AND(OR(C55="Governed Operations Zone",C55="Autonomous Operations Zone"),E55&gt;=3,MIN(L55:N55)&lt;=1),"R2 mandatory control "&amp;INDEX($L$4:$N$4,1,MATCH(MIN(L55:N55),L55:N55,0))&amp;"="&amp;MIN(L55:N55)&amp;"; ","")&amp;IF(AND(OR(C55="Governed Operations Zone",C55="Autonomous Operations Zone"),S55&lt;4),"R3 evidence tier "&amp;S55&amp;"&lt;4; ","")="","-",IF(AND(E55&gt;=4,H55&gt;=4),"R1 concentrated force; ","")&amp;IF(AND(OR(C55="Governed Operations Zone",C55="Autonomous Operations Zone"),E55&gt;=3,MIN(L55:N55)&lt;=1),"R2 mandatory control "&amp;INDEX($L$4:$N$4,1,MATCH(MIN(L55:N55),L55:N55,0))&amp;"="&amp;MIN(L55:N55)&amp;"; ","")&amp;IF(AND(OR(C55="Governed Operations Zone",C55="Autonomous Operations Zone"),S55&lt;4),"R3 evidence tier "&amp;S55&amp;"&lt;4; ","")))</f>
        <v/>
      </c>
      <c r="AH55" s="14" t="str">
        <f aca="false">IF($A55="","",IF(MIN(IF(X55="Critical Orbit",1,IF(X55="Unstable Orbit",2,IF(X55="Edge Orbit",3,IF(X55="Controlled Orbit",4,5)))),IF(AF55="None",9,IF(AF55="Critical Orbit",1,IF(AF55="Unstable Orbit",2,IF(AF55="Edge Orbit",3,IF(AF55="Controlled Orbit",4,5))))))=1,"Critical Orbit",IF(MIN(IF(X55="Critical Orbit",1,IF(X55="Unstable Orbit",2,IF(X55="Edge Orbit",3,IF(X55="Controlled Orbit",4,5)))),IF(AF55="None",9,IF(AF55="Critical Orbit",1,IF(AF55="Unstable Orbit",2,IF(AF55="Edge Orbit",3,IF(AF55="Controlled Orbit",4,5))))))=2,"Unstable Orbit",IF(MIN(IF(X55="Critical Orbit",1,IF(X55="Unstable Orbit",2,IF(X55="Edge Orbit",3,IF(X55="Controlled Orbit",4,5)))),IF(AF55="None",9,IF(AF55="Critical Orbit",1,IF(AF55="Unstable Orbit",2,IF(AF55="Edge Orbit",3,IF(AF55="Controlled Orbit",4,5))))))=3,"Edge Orbit",IF(MIN(IF(X55="Critical Orbit",1,IF(X55="Unstable Orbit",2,IF(X55="Edge Orbit",3,IF(X55="Controlled Orbit",4,5)))),IF(AF55="None",9,IF(AF55="Critical Orbit",1,IF(AF55="Unstable Orbit",2,IF(AF55="Edge Orbit",3,IF(AF55="Controlled Orbit",4,5))))))=4,"Controlled Orbit","Stable Orbit")))))</f>
        <v/>
      </c>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12" t="str">
        <f aca="false">IF($A56="","",IF(AND(MAX(L56:R56)&gt;3,S56&lt;3),"Warning: EGI &gt;3 needs Tier 3+ evidence",IF(AND(C56="Autonomous Operations Zone",S56&lt;4),"Warning: Autonomous zone needs Tier 4 evidence","OK")))</f>
        <v/>
      </c>
      <c r="U56" s="10" t="str">
        <f aca="false">IF($A56="","",IF($D56="Basic",SUM(E56:K56)/35*100,SUMPRODUCT(E56:K56,INDEX('Weighted Scoring'!$B$5:$H$13,MATCH($B56,'Weighted Scoring'!$A$5:$A$13,0),0))/SUMPRODUCT(5,INDEX('Weighted Scoring'!$B$5:$H$13,MATCH($B56,'Weighted Scoring'!$A$5:$A$13,0),0))*100))</f>
        <v/>
      </c>
      <c r="V56" s="10" t="str">
        <f aca="false">IF($A56="","",IF($D56="Basic",SUM(L56:R56)/35*100,SUMPRODUCT(L56:R56,INDEX('Weighted Scoring'!$I$5:$O$13,MATCH($B56,'Weighted Scoring'!$A$5:$A$13,0),0))/SUMPRODUCT(5,INDEX('Weighted Scoring'!$I$5:$O$13,MATCH($B56,'Weighted Scoring'!$A$5:$A$13,0),0))*100))</f>
        <v/>
      </c>
      <c r="W56" s="10" t="str">
        <f aca="false">IF($A56="","",V56-U56)</f>
        <v/>
      </c>
      <c r="X56" s="12" t="str">
        <f aca="false">IF($A56="","",IF(W56&gt;=40,"Stable Orbit",IF(W56&gt;=15,"Controlled Orbit",IF(W56&gt;=-14,"Edge Orbit",IF(W56&gt;=-39,"Unstable Orbit","Critical Orbit")))))</f>
        <v/>
      </c>
      <c r="Y56" s="12" t="str">
        <f aca="false">IF($A56="","",INDEX('Deployment Gates'!$C$5:$C$9,MATCH(AH56,'Deployment Gates'!$A$5:$A$9,0)))</f>
        <v/>
      </c>
      <c r="Z56" s="3"/>
      <c r="AA56" s="12" t="str">
        <f aca="false">IF($A56="","",IF(OR(AH56="Edge Orbit",AH56="Unstable Orbit",AH56="Critical Orbit",H56&gt;=4,G56&gt;=4,E56&gt;=4,J56&gt;=4),"Yes","No"))</f>
        <v/>
      </c>
      <c r="AB56" s="12" t="str">
        <f aca="false">IF($A56="","",IF(W56&lt;0,"Yes","No"))</f>
        <v/>
      </c>
      <c r="AC56" s="12" t="str">
        <f aca="false">IF($A56="","",INDEX($L$4:$R$4,1,MATCH(MIN(L56:R56),L56:R56,0))&amp;IF(COUNTIF(L56:R56,MIN(L56:R56))&gt;1," (+"&amp;(COUNTIF(L56:R56,MIN(L56:R56))-1)&amp;" tied)",""))</f>
        <v/>
      </c>
      <c r="AD56" s="12" t="str">
        <f aca="false">IF($A56="","",INDEX($E$4:$K$4,1,MATCH(MAX(E56:K56),E56:K56,0))&amp;IF(COUNTIF(E56:K56,MAX(E56:K56))&gt;1," (+"&amp;(COUNTIF(E56:K56,MAX(E56:K56))-1)&amp;" tied)",""))</f>
        <v/>
      </c>
      <c r="AE56" s="12" t="str">
        <f aca="false">IF($A56="","",INDEX('Control Uplift Planner'!$B$5:$B$11,MATCH(INDEX($L$4:$R$4,1,MATCH(MIN(L56:R56),L56:R56,0)),'Control Uplift Planner'!$A$5:$A$11,0)))</f>
        <v/>
      </c>
      <c r="AF56" s="13" t="str">
        <f aca="false">IF($A56="","",IF(MIN(IF(AND(E56&gt;=4,H56&gt;=4),3,9),IF(AND(OR(C56="Governed Operations Zone",C56="Autonomous Operations Zone"),E56&gt;=3),IF(MIN(L56:N56)=0,2,IF(MIN(L56:N56)=1,3,9)),9),IF(AND(OR(C56="Governed Operations Zone",C56="Autonomous Operations Zone"),S56&lt;4),3,9))=9,"None",IF(MIN(IF(AND(E56&gt;=4,H56&gt;=4),3,9),IF(AND(OR(C56="Governed Operations Zone",C56="Autonomous Operations Zone"),E56&gt;=3),IF(MIN(L56:N56)=0,2,IF(MIN(L56:N56)=1,3,9)),9),IF(AND(OR(C56="Governed Operations Zone",C56="Autonomous Operations Zone"),S56&lt;4),3,9))=1,"Critical Orbit",IF(MIN(IF(AND(E56&gt;=4,H56&gt;=4),3,9),IF(AND(OR(C56="Governed Operations Zone",C56="Autonomous Operations Zone"),E56&gt;=3),IF(MIN(L56:N56)=0,2,IF(MIN(L56:N56)=1,3,9)),9),IF(AND(OR(C56="Governed Operations Zone",C56="Autonomous Operations Zone"),S56&lt;4),3,9))=2,"Unstable Orbit","Edge Orbit"))))</f>
        <v/>
      </c>
      <c r="AG56" s="14" t="str">
        <f aca="false">IF($A56="","",IF(IF(AND(E56&gt;=4,H56&gt;=4),"R1 concentrated force; ","")&amp;IF(AND(OR(C56="Governed Operations Zone",C56="Autonomous Operations Zone"),E56&gt;=3,MIN(L56:N56)&lt;=1),"R2 mandatory control "&amp;INDEX($L$4:$N$4,1,MATCH(MIN(L56:N56),L56:N56,0))&amp;"="&amp;MIN(L56:N56)&amp;"; ","")&amp;IF(AND(OR(C56="Governed Operations Zone",C56="Autonomous Operations Zone"),S56&lt;4),"R3 evidence tier "&amp;S56&amp;"&lt;4; ","")="","-",IF(AND(E56&gt;=4,H56&gt;=4),"R1 concentrated force; ","")&amp;IF(AND(OR(C56="Governed Operations Zone",C56="Autonomous Operations Zone"),E56&gt;=3,MIN(L56:N56)&lt;=1),"R2 mandatory control "&amp;INDEX($L$4:$N$4,1,MATCH(MIN(L56:N56),L56:N56,0))&amp;"="&amp;MIN(L56:N56)&amp;"; ","")&amp;IF(AND(OR(C56="Governed Operations Zone",C56="Autonomous Operations Zone"),S56&lt;4),"R3 evidence tier "&amp;S56&amp;"&lt;4; ","")))</f>
        <v/>
      </c>
      <c r="AH56" s="14" t="str">
        <f aca="false">IF($A56="","",IF(MIN(IF(X56="Critical Orbit",1,IF(X56="Unstable Orbit",2,IF(X56="Edge Orbit",3,IF(X56="Controlled Orbit",4,5)))),IF(AF56="None",9,IF(AF56="Critical Orbit",1,IF(AF56="Unstable Orbit",2,IF(AF56="Edge Orbit",3,IF(AF56="Controlled Orbit",4,5))))))=1,"Critical Orbit",IF(MIN(IF(X56="Critical Orbit",1,IF(X56="Unstable Orbit",2,IF(X56="Edge Orbit",3,IF(X56="Controlled Orbit",4,5)))),IF(AF56="None",9,IF(AF56="Critical Orbit",1,IF(AF56="Unstable Orbit",2,IF(AF56="Edge Orbit",3,IF(AF56="Controlled Orbit",4,5))))))=2,"Unstable Orbit",IF(MIN(IF(X56="Critical Orbit",1,IF(X56="Unstable Orbit",2,IF(X56="Edge Orbit",3,IF(X56="Controlled Orbit",4,5)))),IF(AF56="None",9,IF(AF56="Critical Orbit",1,IF(AF56="Unstable Orbit",2,IF(AF56="Edge Orbit",3,IF(AF56="Controlled Orbit",4,5))))))=3,"Edge Orbit",IF(MIN(IF(X56="Critical Orbit",1,IF(X56="Unstable Orbit",2,IF(X56="Edge Orbit",3,IF(X56="Controlled Orbit",4,5)))),IF(AF56="None",9,IF(AF56="Critical Orbit",1,IF(AF56="Unstable Orbit",2,IF(AF56="Edge Orbit",3,IF(AF56="Controlled Orbit",4,5))))))=4,"Controlled Orbit","Stable Orbit")))))</f>
        <v/>
      </c>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12" t="str">
        <f aca="false">IF($A57="","",IF(AND(MAX(L57:R57)&gt;3,S57&lt;3),"Warning: EGI &gt;3 needs Tier 3+ evidence",IF(AND(C57="Autonomous Operations Zone",S57&lt;4),"Warning: Autonomous zone needs Tier 4 evidence","OK")))</f>
        <v/>
      </c>
      <c r="U57" s="10" t="str">
        <f aca="false">IF($A57="","",IF($D57="Basic",SUM(E57:K57)/35*100,SUMPRODUCT(E57:K57,INDEX('Weighted Scoring'!$B$5:$H$13,MATCH($B57,'Weighted Scoring'!$A$5:$A$13,0),0))/SUMPRODUCT(5,INDEX('Weighted Scoring'!$B$5:$H$13,MATCH($B57,'Weighted Scoring'!$A$5:$A$13,0),0))*100))</f>
        <v/>
      </c>
      <c r="V57" s="10" t="str">
        <f aca="false">IF($A57="","",IF($D57="Basic",SUM(L57:R57)/35*100,SUMPRODUCT(L57:R57,INDEX('Weighted Scoring'!$I$5:$O$13,MATCH($B57,'Weighted Scoring'!$A$5:$A$13,0),0))/SUMPRODUCT(5,INDEX('Weighted Scoring'!$I$5:$O$13,MATCH($B57,'Weighted Scoring'!$A$5:$A$13,0),0))*100))</f>
        <v/>
      </c>
      <c r="W57" s="10" t="str">
        <f aca="false">IF($A57="","",V57-U57)</f>
        <v/>
      </c>
      <c r="X57" s="12" t="str">
        <f aca="false">IF($A57="","",IF(W57&gt;=40,"Stable Orbit",IF(W57&gt;=15,"Controlled Orbit",IF(W57&gt;=-14,"Edge Orbit",IF(W57&gt;=-39,"Unstable Orbit","Critical Orbit")))))</f>
        <v/>
      </c>
      <c r="Y57" s="12" t="str">
        <f aca="false">IF($A57="","",INDEX('Deployment Gates'!$C$5:$C$9,MATCH(AH57,'Deployment Gates'!$A$5:$A$9,0)))</f>
        <v/>
      </c>
      <c r="Z57" s="3"/>
      <c r="AA57" s="12" t="str">
        <f aca="false">IF($A57="","",IF(OR(AH57="Edge Orbit",AH57="Unstable Orbit",AH57="Critical Orbit",H57&gt;=4,G57&gt;=4,E57&gt;=4,J57&gt;=4),"Yes","No"))</f>
        <v/>
      </c>
      <c r="AB57" s="12" t="str">
        <f aca="false">IF($A57="","",IF(W57&lt;0,"Yes","No"))</f>
        <v/>
      </c>
      <c r="AC57" s="12" t="str">
        <f aca="false">IF($A57="","",INDEX($L$4:$R$4,1,MATCH(MIN(L57:R57),L57:R57,0))&amp;IF(COUNTIF(L57:R57,MIN(L57:R57))&gt;1," (+"&amp;(COUNTIF(L57:R57,MIN(L57:R57))-1)&amp;" tied)",""))</f>
        <v/>
      </c>
      <c r="AD57" s="12" t="str">
        <f aca="false">IF($A57="","",INDEX($E$4:$K$4,1,MATCH(MAX(E57:K57),E57:K57,0))&amp;IF(COUNTIF(E57:K57,MAX(E57:K57))&gt;1," (+"&amp;(COUNTIF(E57:K57,MAX(E57:K57))-1)&amp;" tied)",""))</f>
        <v/>
      </c>
      <c r="AE57" s="12" t="str">
        <f aca="false">IF($A57="","",INDEX('Control Uplift Planner'!$B$5:$B$11,MATCH(INDEX($L$4:$R$4,1,MATCH(MIN(L57:R57),L57:R57,0)),'Control Uplift Planner'!$A$5:$A$11,0)))</f>
        <v/>
      </c>
      <c r="AF57" s="13" t="str">
        <f aca="false">IF($A57="","",IF(MIN(IF(AND(E57&gt;=4,H57&gt;=4),3,9),IF(AND(OR(C57="Governed Operations Zone",C57="Autonomous Operations Zone"),E57&gt;=3),IF(MIN(L57:N57)=0,2,IF(MIN(L57:N57)=1,3,9)),9),IF(AND(OR(C57="Governed Operations Zone",C57="Autonomous Operations Zone"),S57&lt;4),3,9))=9,"None",IF(MIN(IF(AND(E57&gt;=4,H57&gt;=4),3,9),IF(AND(OR(C57="Governed Operations Zone",C57="Autonomous Operations Zone"),E57&gt;=3),IF(MIN(L57:N57)=0,2,IF(MIN(L57:N57)=1,3,9)),9),IF(AND(OR(C57="Governed Operations Zone",C57="Autonomous Operations Zone"),S57&lt;4),3,9))=1,"Critical Orbit",IF(MIN(IF(AND(E57&gt;=4,H57&gt;=4),3,9),IF(AND(OR(C57="Governed Operations Zone",C57="Autonomous Operations Zone"),E57&gt;=3),IF(MIN(L57:N57)=0,2,IF(MIN(L57:N57)=1,3,9)),9),IF(AND(OR(C57="Governed Operations Zone",C57="Autonomous Operations Zone"),S57&lt;4),3,9))=2,"Unstable Orbit","Edge Orbit"))))</f>
        <v/>
      </c>
      <c r="AG57" s="14" t="str">
        <f aca="false">IF($A57="","",IF(IF(AND(E57&gt;=4,H57&gt;=4),"R1 concentrated force; ","")&amp;IF(AND(OR(C57="Governed Operations Zone",C57="Autonomous Operations Zone"),E57&gt;=3,MIN(L57:N57)&lt;=1),"R2 mandatory control "&amp;INDEX($L$4:$N$4,1,MATCH(MIN(L57:N57),L57:N57,0))&amp;"="&amp;MIN(L57:N57)&amp;"; ","")&amp;IF(AND(OR(C57="Governed Operations Zone",C57="Autonomous Operations Zone"),S57&lt;4),"R3 evidence tier "&amp;S57&amp;"&lt;4; ","")="","-",IF(AND(E57&gt;=4,H57&gt;=4),"R1 concentrated force; ","")&amp;IF(AND(OR(C57="Governed Operations Zone",C57="Autonomous Operations Zone"),E57&gt;=3,MIN(L57:N57)&lt;=1),"R2 mandatory control "&amp;INDEX($L$4:$N$4,1,MATCH(MIN(L57:N57),L57:N57,0))&amp;"="&amp;MIN(L57:N57)&amp;"; ","")&amp;IF(AND(OR(C57="Governed Operations Zone",C57="Autonomous Operations Zone"),S57&lt;4),"R3 evidence tier "&amp;S57&amp;"&lt;4; ","")))</f>
        <v/>
      </c>
      <c r="AH57" s="14" t="str">
        <f aca="false">IF($A57="","",IF(MIN(IF(X57="Critical Orbit",1,IF(X57="Unstable Orbit",2,IF(X57="Edge Orbit",3,IF(X57="Controlled Orbit",4,5)))),IF(AF57="None",9,IF(AF57="Critical Orbit",1,IF(AF57="Unstable Orbit",2,IF(AF57="Edge Orbit",3,IF(AF57="Controlled Orbit",4,5))))))=1,"Critical Orbit",IF(MIN(IF(X57="Critical Orbit",1,IF(X57="Unstable Orbit",2,IF(X57="Edge Orbit",3,IF(X57="Controlled Orbit",4,5)))),IF(AF57="None",9,IF(AF57="Critical Orbit",1,IF(AF57="Unstable Orbit",2,IF(AF57="Edge Orbit",3,IF(AF57="Controlled Orbit",4,5))))))=2,"Unstable Orbit",IF(MIN(IF(X57="Critical Orbit",1,IF(X57="Unstable Orbit",2,IF(X57="Edge Orbit",3,IF(X57="Controlled Orbit",4,5)))),IF(AF57="None",9,IF(AF57="Critical Orbit",1,IF(AF57="Unstable Orbit",2,IF(AF57="Edge Orbit",3,IF(AF57="Controlled Orbit",4,5))))))=3,"Edge Orbit",IF(MIN(IF(X57="Critical Orbit",1,IF(X57="Unstable Orbit",2,IF(X57="Edge Orbit",3,IF(X57="Controlled Orbit",4,5)))),IF(AF57="None",9,IF(AF57="Critical Orbit",1,IF(AF57="Unstable Orbit",2,IF(AF57="Edge Orbit",3,IF(AF57="Controlled Orbit",4,5))))))=4,"Controlled Orbit","Stable Orbit")))))</f>
        <v/>
      </c>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12" t="str">
        <f aca="false">IF($A58="","",IF(AND(MAX(L58:R58)&gt;3,S58&lt;3),"Warning: EGI &gt;3 needs Tier 3+ evidence",IF(AND(C58="Autonomous Operations Zone",S58&lt;4),"Warning: Autonomous zone needs Tier 4 evidence","OK")))</f>
        <v/>
      </c>
      <c r="U58" s="10" t="str">
        <f aca="false">IF($A58="","",IF($D58="Basic",SUM(E58:K58)/35*100,SUMPRODUCT(E58:K58,INDEX('Weighted Scoring'!$B$5:$H$13,MATCH($B58,'Weighted Scoring'!$A$5:$A$13,0),0))/SUMPRODUCT(5,INDEX('Weighted Scoring'!$B$5:$H$13,MATCH($B58,'Weighted Scoring'!$A$5:$A$13,0),0))*100))</f>
        <v/>
      </c>
      <c r="V58" s="10" t="str">
        <f aca="false">IF($A58="","",IF($D58="Basic",SUM(L58:R58)/35*100,SUMPRODUCT(L58:R58,INDEX('Weighted Scoring'!$I$5:$O$13,MATCH($B58,'Weighted Scoring'!$A$5:$A$13,0),0))/SUMPRODUCT(5,INDEX('Weighted Scoring'!$I$5:$O$13,MATCH($B58,'Weighted Scoring'!$A$5:$A$13,0),0))*100))</f>
        <v/>
      </c>
      <c r="W58" s="10" t="str">
        <f aca="false">IF($A58="","",V58-U58)</f>
        <v/>
      </c>
      <c r="X58" s="12" t="str">
        <f aca="false">IF($A58="","",IF(W58&gt;=40,"Stable Orbit",IF(W58&gt;=15,"Controlled Orbit",IF(W58&gt;=-14,"Edge Orbit",IF(W58&gt;=-39,"Unstable Orbit","Critical Orbit")))))</f>
        <v/>
      </c>
      <c r="Y58" s="12" t="str">
        <f aca="false">IF($A58="","",INDEX('Deployment Gates'!$C$5:$C$9,MATCH(AH58,'Deployment Gates'!$A$5:$A$9,0)))</f>
        <v/>
      </c>
      <c r="Z58" s="3"/>
      <c r="AA58" s="12" t="str">
        <f aca="false">IF($A58="","",IF(OR(AH58="Edge Orbit",AH58="Unstable Orbit",AH58="Critical Orbit",H58&gt;=4,G58&gt;=4,E58&gt;=4,J58&gt;=4),"Yes","No"))</f>
        <v/>
      </c>
      <c r="AB58" s="12" t="str">
        <f aca="false">IF($A58="","",IF(W58&lt;0,"Yes","No"))</f>
        <v/>
      </c>
      <c r="AC58" s="12" t="str">
        <f aca="false">IF($A58="","",INDEX($L$4:$R$4,1,MATCH(MIN(L58:R58),L58:R58,0))&amp;IF(COUNTIF(L58:R58,MIN(L58:R58))&gt;1," (+"&amp;(COUNTIF(L58:R58,MIN(L58:R58))-1)&amp;" tied)",""))</f>
        <v/>
      </c>
      <c r="AD58" s="12" t="str">
        <f aca="false">IF($A58="","",INDEX($E$4:$K$4,1,MATCH(MAX(E58:K58),E58:K58,0))&amp;IF(COUNTIF(E58:K58,MAX(E58:K58))&gt;1," (+"&amp;(COUNTIF(E58:K58,MAX(E58:K58))-1)&amp;" tied)",""))</f>
        <v/>
      </c>
      <c r="AE58" s="12" t="str">
        <f aca="false">IF($A58="","",INDEX('Control Uplift Planner'!$B$5:$B$11,MATCH(INDEX($L$4:$R$4,1,MATCH(MIN(L58:R58),L58:R58,0)),'Control Uplift Planner'!$A$5:$A$11,0)))</f>
        <v/>
      </c>
      <c r="AF58" s="13" t="str">
        <f aca="false">IF($A58="","",IF(MIN(IF(AND(E58&gt;=4,H58&gt;=4),3,9),IF(AND(OR(C58="Governed Operations Zone",C58="Autonomous Operations Zone"),E58&gt;=3),IF(MIN(L58:N58)=0,2,IF(MIN(L58:N58)=1,3,9)),9),IF(AND(OR(C58="Governed Operations Zone",C58="Autonomous Operations Zone"),S58&lt;4),3,9))=9,"None",IF(MIN(IF(AND(E58&gt;=4,H58&gt;=4),3,9),IF(AND(OR(C58="Governed Operations Zone",C58="Autonomous Operations Zone"),E58&gt;=3),IF(MIN(L58:N58)=0,2,IF(MIN(L58:N58)=1,3,9)),9),IF(AND(OR(C58="Governed Operations Zone",C58="Autonomous Operations Zone"),S58&lt;4),3,9))=1,"Critical Orbit",IF(MIN(IF(AND(E58&gt;=4,H58&gt;=4),3,9),IF(AND(OR(C58="Governed Operations Zone",C58="Autonomous Operations Zone"),E58&gt;=3),IF(MIN(L58:N58)=0,2,IF(MIN(L58:N58)=1,3,9)),9),IF(AND(OR(C58="Governed Operations Zone",C58="Autonomous Operations Zone"),S58&lt;4),3,9))=2,"Unstable Orbit","Edge Orbit"))))</f>
        <v/>
      </c>
      <c r="AG58" s="14" t="str">
        <f aca="false">IF($A58="","",IF(IF(AND(E58&gt;=4,H58&gt;=4),"R1 concentrated force; ","")&amp;IF(AND(OR(C58="Governed Operations Zone",C58="Autonomous Operations Zone"),E58&gt;=3,MIN(L58:N58)&lt;=1),"R2 mandatory control "&amp;INDEX($L$4:$N$4,1,MATCH(MIN(L58:N58),L58:N58,0))&amp;"="&amp;MIN(L58:N58)&amp;"; ","")&amp;IF(AND(OR(C58="Governed Operations Zone",C58="Autonomous Operations Zone"),S58&lt;4),"R3 evidence tier "&amp;S58&amp;"&lt;4; ","")="","-",IF(AND(E58&gt;=4,H58&gt;=4),"R1 concentrated force; ","")&amp;IF(AND(OR(C58="Governed Operations Zone",C58="Autonomous Operations Zone"),E58&gt;=3,MIN(L58:N58)&lt;=1),"R2 mandatory control "&amp;INDEX($L$4:$N$4,1,MATCH(MIN(L58:N58),L58:N58,0))&amp;"="&amp;MIN(L58:N58)&amp;"; ","")&amp;IF(AND(OR(C58="Governed Operations Zone",C58="Autonomous Operations Zone"),S58&lt;4),"R3 evidence tier "&amp;S58&amp;"&lt;4; ","")))</f>
        <v/>
      </c>
      <c r="AH58" s="14" t="str">
        <f aca="false">IF($A58="","",IF(MIN(IF(X58="Critical Orbit",1,IF(X58="Unstable Orbit",2,IF(X58="Edge Orbit",3,IF(X58="Controlled Orbit",4,5)))),IF(AF58="None",9,IF(AF58="Critical Orbit",1,IF(AF58="Unstable Orbit",2,IF(AF58="Edge Orbit",3,IF(AF58="Controlled Orbit",4,5))))))=1,"Critical Orbit",IF(MIN(IF(X58="Critical Orbit",1,IF(X58="Unstable Orbit",2,IF(X58="Edge Orbit",3,IF(X58="Controlled Orbit",4,5)))),IF(AF58="None",9,IF(AF58="Critical Orbit",1,IF(AF58="Unstable Orbit",2,IF(AF58="Edge Orbit",3,IF(AF58="Controlled Orbit",4,5))))))=2,"Unstable Orbit",IF(MIN(IF(X58="Critical Orbit",1,IF(X58="Unstable Orbit",2,IF(X58="Edge Orbit",3,IF(X58="Controlled Orbit",4,5)))),IF(AF58="None",9,IF(AF58="Critical Orbit",1,IF(AF58="Unstable Orbit",2,IF(AF58="Edge Orbit",3,IF(AF58="Controlled Orbit",4,5))))))=3,"Edge Orbit",IF(MIN(IF(X58="Critical Orbit",1,IF(X58="Unstable Orbit",2,IF(X58="Edge Orbit",3,IF(X58="Controlled Orbit",4,5)))),IF(AF58="None",9,IF(AF58="Critical Orbit",1,IF(AF58="Unstable Orbit",2,IF(AF58="Edge Orbit",3,IF(AF58="Controlled Orbit",4,5))))))=4,"Controlled Orbit","Stable Orbit")))))</f>
        <v/>
      </c>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12" t="str">
        <f aca="false">IF($A59="","",IF(AND(MAX(L59:R59)&gt;3,S59&lt;3),"Warning: EGI &gt;3 needs Tier 3+ evidence",IF(AND(C59="Autonomous Operations Zone",S59&lt;4),"Warning: Autonomous zone needs Tier 4 evidence","OK")))</f>
        <v/>
      </c>
      <c r="U59" s="10" t="str">
        <f aca="false">IF($A59="","",IF($D59="Basic",SUM(E59:K59)/35*100,SUMPRODUCT(E59:K59,INDEX('Weighted Scoring'!$B$5:$H$13,MATCH($B59,'Weighted Scoring'!$A$5:$A$13,0),0))/SUMPRODUCT(5,INDEX('Weighted Scoring'!$B$5:$H$13,MATCH($B59,'Weighted Scoring'!$A$5:$A$13,0),0))*100))</f>
        <v/>
      </c>
      <c r="V59" s="10" t="str">
        <f aca="false">IF($A59="","",IF($D59="Basic",SUM(L59:R59)/35*100,SUMPRODUCT(L59:R59,INDEX('Weighted Scoring'!$I$5:$O$13,MATCH($B59,'Weighted Scoring'!$A$5:$A$13,0),0))/SUMPRODUCT(5,INDEX('Weighted Scoring'!$I$5:$O$13,MATCH($B59,'Weighted Scoring'!$A$5:$A$13,0),0))*100))</f>
        <v/>
      </c>
      <c r="W59" s="10" t="str">
        <f aca="false">IF($A59="","",V59-U59)</f>
        <v/>
      </c>
      <c r="X59" s="12" t="str">
        <f aca="false">IF($A59="","",IF(W59&gt;=40,"Stable Orbit",IF(W59&gt;=15,"Controlled Orbit",IF(W59&gt;=-14,"Edge Orbit",IF(W59&gt;=-39,"Unstable Orbit","Critical Orbit")))))</f>
        <v/>
      </c>
      <c r="Y59" s="12" t="str">
        <f aca="false">IF($A59="","",INDEX('Deployment Gates'!$C$5:$C$9,MATCH(AH59,'Deployment Gates'!$A$5:$A$9,0)))</f>
        <v/>
      </c>
      <c r="Z59" s="3"/>
      <c r="AA59" s="12" t="str">
        <f aca="false">IF($A59="","",IF(OR(AH59="Edge Orbit",AH59="Unstable Orbit",AH59="Critical Orbit",H59&gt;=4,G59&gt;=4,E59&gt;=4,J59&gt;=4),"Yes","No"))</f>
        <v/>
      </c>
      <c r="AB59" s="12" t="str">
        <f aca="false">IF($A59="","",IF(W59&lt;0,"Yes","No"))</f>
        <v/>
      </c>
      <c r="AC59" s="12" t="str">
        <f aca="false">IF($A59="","",INDEX($L$4:$R$4,1,MATCH(MIN(L59:R59),L59:R59,0))&amp;IF(COUNTIF(L59:R59,MIN(L59:R59))&gt;1," (+"&amp;(COUNTIF(L59:R59,MIN(L59:R59))-1)&amp;" tied)",""))</f>
        <v/>
      </c>
      <c r="AD59" s="12" t="str">
        <f aca="false">IF($A59="","",INDEX($E$4:$K$4,1,MATCH(MAX(E59:K59),E59:K59,0))&amp;IF(COUNTIF(E59:K59,MAX(E59:K59))&gt;1," (+"&amp;(COUNTIF(E59:K59,MAX(E59:K59))-1)&amp;" tied)",""))</f>
        <v/>
      </c>
      <c r="AE59" s="12" t="str">
        <f aca="false">IF($A59="","",INDEX('Control Uplift Planner'!$B$5:$B$11,MATCH(INDEX($L$4:$R$4,1,MATCH(MIN(L59:R59),L59:R59,0)),'Control Uplift Planner'!$A$5:$A$11,0)))</f>
        <v/>
      </c>
      <c r="AF59" s="13" t="str">
        <f aca="false">IF($A59="","",IF(MIN(IF(AND(E59&gt;=4,H59&gt;=4),3,9),IF(AND(OR(C59="Governed Operations Zone",C59="Autonomous Operations Zone"),E59&gt;=3),IF(MIN(L59:N59)=0,2,IF(MIN(L59:N59)=1,3,9)),9),IF(AND(OR(C59="Governed Operations Zone",C59="Autonomous Operations Zone"),S59&lt;4),3,9))=9,"None",IF(MIN(IF(AND(E59&gt;=4,H59&gt;=4),3,9),IF(AND(OR(C59="Governed Operations Zone",C59="Autonomous Operations Zone"),E59&gt;=3),IF(MIN(L59:N59)=0,2,IF(MIN(L59:N59)=1,3,9)),9),IF(AND(OR(C59="Governed Operations Zone",C59="Autonomous Operations Zone"),S59&lt;4),3,9))=1,"Critical Orbit",IF(MIN(IF(AND(E59&gt;=4,H59&gt;=4),3,9),IF(AND(OR(C59="Governed Operations Zone",C59="Autonomous Operations Zone"),E59&gt;=3),IF(MIN(L59:N59)=0,2,IF(MIN(L59:N59)=1,3,9)),9),IF(AND(OR(C59="Governed Operations Zone",C59="Autonomous Operations Zone"),S59&lt;4),3,9))=2,"Unstable Orbit","Edge Orbit"))))</f>
        <v/>
      </c>
      <c r="AG59" s="14" t="str">
        <f aca="false">IF($A59="","",IF(IF(AND(E59&gt;=4,H59&gt;=4),"R1 concentrated force; ","")&amp;IF(AND(OR(C59="Governed Operations Zone",C59="Autonomous Operations Zone"),E59&gt;=3,MIN(L59:N59)&lt;=1),"R2 mandatory control "&amp;INDEX($L$4:$N$4,1,MATCH(MIN(L59:N59),L59:N59,0))&amp;"="&amp;MIN(L59:N59)&amp;"; ","")&amp;IF(AND(OR(C59="Governed Operations Zone",C59="Autonomous Operations Zone"),S59&lt;4),"R3 evidence tier "&amp;S59&amp;"&lt;4; ","")="","-",IF(AND(E59&gt;=4,H59&gt;=4),"R1 concentrated force; ","")&amp;IF(AND(OR(C59="Governed Operations Zone",C59="Autonomous Operations Zone"),E59&gt;=3,MIN(L59:N59)&lt;=1),"R2 mandatory control "&amp;INDEX($L$4:$N$4,1,MATCH(MIN(L59:N59),L59:N59,0))&amp;"="&amp;MIN(L59:N59)&amp;"; ","")&amp;IF(AND(OR(C59="Governed Operations Zone",C59="Autonomous Operations Zone"),S59&lt;4),"R3 evidence tier "&amp;S59&amp;"&lt;4; ","")))</f>
        <v/>
      </c>
      <c r="AH59" s="14" t="str">
        <f aca="false">IF($A59="","",IF(MIN(IF(X59="Critical Orbit",1,IF(X59="Unstable Orbit",2,IF(X59="Edge Orbit",3,IF(X59="Controlled Orbit",4,5)))),IF(AF59="None",9,IF(AF59="Critical Orbit",1,IF(AF59="Unstable Orbit",2,IF(AF59="Edge Orbit",3,IF(AF59="Controlled Orbit",4,5))))))=1,"Critical Orbit",IF(MIN(IF(X59="Critical Orbit",1,IF(X59="Unstable Orbit",2,IF(X59="Edge Orbit",3,IF(X59="Controlled Orbit",4,5)))),IF(AF59="None",9,IF(AF59="Critical Orbit",1,IF(AF59="Unstable Orbit",2,IF(AF59="Edge Orbit",3,IF(AF59="Controlled Orbit",4,5))))))=2,"Unstable Orbit",IF(MIN(IF(X59="Critical Orbit",1,IF(X59="Unstable Orbit",2,IF(X59="Edge Orbit",3,IF(X59="Controlled Orbit",4,5)))),IF(AF59="None",9,IF(AF59="Critical Orbit",1,IF(AF59="Unstable Orbit",2,IF(AF59="Edge Orbit",3,IF(AF59="Controlled Orbit",4,5))))))=3,"Edge Orbit",IF(MIN(IF(X59="Critical Orbit",1,IF(X59="Unstable Orbit",2,IF(X59="Edge Orbit",3,IF(X59="Controlled Orbit",4,5)))),IF(AF59="None",9,IF(AF59="Critical Orbit",1,IF(AF59="Unstable Orbit",2,IF(AF59="Edge Orbit",3,IF(AF59="Controlled Orbit",4,5))))))=4,"Controlled Orbit","Stable Orbit")))))</f>
        <v/>
      </c>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12" t="str">
        <f aca="false">IF($A60="","",IF(AND(MAX(L60:R60)&gt;3,S60&lt;3),"Warning: EGI &gt;3 needs Tier 3+ evidence",IF(AND(C60="Autonomous Operations Zone",S60&lt;4),"Warning: Autonomous zone needs Tier 4 evidence","OK")))</f>
        <v/>
      </c>
      <c r="U60" s="10" t="str">
        <f aca="false">IF($A60="","",IF($D60="Basic",SUM(E60:K60)/35*100,SUMPRODUCT(E60:K60,INDEX('Weighted Scoring'!$B$5:$H$13,MATCH($B60,'Weighted Scoring'!$A$5:$A$13,0),0))/SUMPRODUCT(5,INDEX('Weighted Scoring'!$B$5:$H$13,MATCH($B60,'Weighted Scoring'!$A$5:$A$13,0),0))*100))</f>
        <v/>
      </c>
      <c r="V60" s="10" t="str">
        <f aca="false">IF($A60="","",IF($D60="Basic",SUM(L60:R60)/35*100,SUMPRODUCT(L60:R60,INDEX('Weighted Scoring'!$I$5:$O$13,MATCH($B60,'Weighted Scoring'!$A$5:$A$13,0),0))/SUMPRODUCT(5,INDEX('Weighted Scoring'!$I$5:$O$13,MATCH($B60,'Weighted Scoring'!$A$5:$A$13,0),0))*100))</f>
        <v/>
      </c>
      <c r="W60" s="10" t="str">
        <f aca="false">IF($A60="","",V60-U60)</f>
        <v/>
      </c>
      <c r="X60" s="12" t="str">
        <f aca="false">IF($A60="","",IF(W60&gt;=40,"Stable Orbit",IF(W60&gt;=15,"Controlled Orbit",IF(W60&gt;=-14,"Edge Orbit",IF(W60&gt;=-39,"Unstable Orbit","Critical Orbit")))))</f>
        <v/>
      </c>
      <c r="Y60" s="12" t="str">
        <f aca="false">IF($A60="","",INDEX('Deployment Gates'!$C$5:$C$9,MATCH(AH60,'Deployment Gates'!$A$5:$A$9,0)))</f>
        <v/>
      </c>
      <c r="Z60" s="3"/>
      <c r="AA60" s="12" t="str">
        <f aca="false">IF($A60="","",IF(OR(AH60="Edge Orbit",AH60="Unstable Orbit",AH60="Critical Orbit",H60&gt;=4,G60&gt;=4,E60&gt;=4,J60&gt;=4),"Yes","No"))</f>
        <v/>
      </c>
      <c r="AB60" s="12" t="str">
        <f aca="false">IF($A60="","",IF(W60&lt;0,"Yes","No"))</f>
        <v/>
      </c>
      <c r="AC60" s="12" t="str">
        <f aca="false">IF($A60="","",INDEX($L$4:$R$4,1,MATCH(MIN(L60:R60),L60:R60,0))&amp;IF(COUNTIF(L60:R60,MIN(L60:R60))&gt;1," (+"&amp;(COUNTIF(L60:R60,MIN(L60:R60))-1)&amp;" tied)",""))</f>
        <v/>
      </c>
      <c r="AD60" s="12" t="str">
        <f aca="false">IF($A60="","",INDEX($E$4:$K$4,1,MATCH(MAX(E60:K60),E60:K60,0))&amp;IF(COUNTIF(E60:K60,MAX(E60:K60))&gt;1," (+"&amp;(COUNTIF(E60:K60,MAX(E60:K60))-1)&amp;" tied)",""))</f>
        <v/>
      </c>
      <c r="AE60" s="12" t="str">
        <f aca="false">IF($A60="","",INDEX('Control Uplift Planner'!$B$5:$B$11,MATCH(INDEX($L$4:$R$4,1,MATCH(MIN(L60:R60),L60:R60,0)),'Control Uplift Planner'!$A$5:$A$11,0)))</f>
        <v/>
      </c>
      <c r="AF60" s="13" t="str">
        <f aca="false">IF($A60="","",IF(MIN(IF(AND(E60&gt;=4,H60&gt;=4),3,9),IF(AND(OR(C60="Governed Operations Zone",C60="Autonomous Operations Zone"),E60&gt;=3),IF(MIN(L60:N60)=0,2,IF(MIN(L60:N60)=1,3,9)),9),IF(AND(OR(C60="Governed Operations Zone",C60="Autonomous Operations Zone"),S60&lt;4),3,9))=9,"None",IF(MIN(IF(AND(E60&gt;=4,H60&gt;=4),3,9),IF(AND(OR(C60="Governed Operations Zone",C60="Autonomous Operations Zone"),E60&gt;=3),IF(MIN(L60:N60)=0,2,IF(MIN(L60:N60)=1,3,9)),9),IF(AND(OR(C60="Governed Operations Zone",C60="Autonomous Operations Zone"),S60&lt;4),3,9))=1,"Critical Orbit",IF(MIN(IF(AND(E60&gt;=4,H60&gt;=4),3,9),IF(AND(OR(C60="Governed Operations Zone",C60="Autonomous Operations Zone"),E60&gt;=3),IF(MIN(L60:N60)=0,2,IF(MIN(L60:N60)=1,3,9)),9),IF(AND(OR(C60="Governed Operations Zone",C60="Autonomous Operations Zone"),S60&lt;4),3,9))=2,"Unstable Orbit","Edge Orbit"))))</f>
        <v/>
      </c>
      <c r="AG60" s="14" t="str">
        <f aca="false">IF($A60="","",IF(IF(AND(E60&gt;=4,H60&gt;=4),"R1 concentrated force; ","")&amp;IF(AND(OR(C60="Governed Operations Zone",C60="Autonomous Operations Zone"),E60&gt;=3,MIN(L60:N60)&lt;=1),"R2 mandatory control "&amp;INDEX($L$4:$N$4,1,MATCH(MIN(L60:N60),L60:N60,0))&amp;"="&amp;MIN(L60:N60)&amp;"; ","")&amp;IF(AND(OR(C60="Governed Operations Zone",C60="Autonomous Operations Zone"),S60&lt;4),"R3 evidence tier "&amp;S60&amp;"&lt;4; ","")="","-",IF(AND(E60&gt;=4,H60&gt;=4),"R1 concentrated force; ","")&amp;IF(AND(OR(C60="Governed Operations Zone",C60="Autonomous Operations Zone"),E60&gt;=3,MIN(L60:N60)&lt;=1),"R2 mandatory control "&amp;INDEX($L$4:$N$4,1,MATCH(MIN(L60:N60),L60:N60,0))&amp;"="&amp;MIN(L60:N60)&amp;"; ","")&amp;IF(AND(OR(C60="Governed Operations Zone",C60="Autonomous Operations Zone"),S60&lt;4),"R3 evidence tier "&amp;S60&amp;"&lt;4; ","")))</f>
        <v/>
      </c>
      <c r="AH60" s="14" t="str">
        <f aca="false">IF($A60="","",IF(MIN(IF(X60="Critical Orbit",1,IF(X60="Unstable Orbit",2,IF(X60="Edge Orbit",3,IF(X60="Controlled Orbit",4,5)))),IF(AF60="None",9,IF(AF60="Critical Orbit",1,IF(AF60="Unstable Orbit",2,IF(AF60="Edge Orbit",3,IF(AF60="Controlled Orbit",4,5))))))=1,"Critical Orbit",IF(MIN(IF(X60="Critical Orbit",1,IF(X60="Unstable Orbit",2,IF(X60="Edge Orbit",3,IF(X60="Controlled Orbit",4,5)))),IF(AF60="None",9,IF(AF60="Critical Orbit",1,IF(AF60="Unstable Orbit",2,IF(AF60="Edge Orbit",3,IF(AF60="Controlled Orbit",4,5))))))=2,"Unstable Orbit",IF(MIN(IF(X60="Critical Orbit",1,IF(X60="Unstable Orbit",2,IF(X60="Edge Orbit",3,IF(X60="Controlled Orbit",4,5)))),IF(AF60="None",9,IF(AF60="Critical Orbit",1,IF(AF60="Unstable Orbit",2,IF(AF60="Edge Orbit",3,IF(AF60="Controlled Orbit",4,5))))))=3,"Edge Orbit",IF(MIN(IF(X60="Critical Orbit",1,IF(X60="Unstable Orbit",2,IF(X60="Edge Orbit",3,IF(X60="Controlled Orbit",4,5)))),IF(AF60="None",9,IF(AF60="Critical Orbit",1,IF(AF60="Unstable Orbit",2,IF(AF60="Edge Orbit",3,IF(AF60="Controlled Orbit",4,5))))))=4,"Controlled Orbit","Stable Orbit")))))</f>
        <v/>
      </c>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12" t="str">
        <f aca="false">IF($A61="","",IF(AND(MAX(L61:R61)&gt;3,S61&lt;3),"Warning: EGI &gt;3 needs Tier 3+ evidence",IF(AND(C61="Autonomous Operations Zone",S61&lt;4),"Warning: Autonomous zone needs Tier 4 evidence","OK")))</f>
        <v/>
      </c>
      <c r="U61" s="10" t="str">
        <f aca="false">IF($A61="","",IF($D61="Basic",SUM(E61:K61)/35*100,SUMPRODUCT(E61:K61,INDEX('Weighted Scoring'!$B$5:$H$13,MATCH($B61,'Weighted Scoring'!$A$5:$A$13,0),0))/SUMPRODUCT(5,INDEX('Weighted Scoring'!$B$5:$H$13,MATCH($B61,'Weighted Scoring'!$A$5:$A$13,0),0))*100))</f>
        <v/>
      </c>
      <c r="V61" s="10" t="str">
        <f aca="false">IF($A61="","",IF($D61="Basic",SUM(L61:R61)/35*100,SUMPRODUCT(L61:R61,INDEX('Weighted Scoring'!$I$5:$O$13,MATCH($B61,'Weighted Scoring'!$A$5:$A$13,0),0))/SUMPRODUCT(5,INDEX('Weighted Scoring'!$I$5:$O$13,MATCH($B61,'Weighted Scoring'!$A$5:$A$13,0),0))*100))</f>
        <v/>
      </c>
      <c r="W61" s="10" t="str">
        <f aca="false">IF($A61="","",V61-U61)</f>
        <v/>
      </c>
      <c r="X61" s="12" t="str">
        <f aca="false">IF($A61="","",IF(W61&gt;=40,"Stable Orbit",IF(W61&gt;=15,"Controlled Orbit",IF(W61&gt;=-14,"Edge Orbit",IF(W61&gt;=-39,"Unstable Orbit","Critical Orbit")))))</f>
        <v/>
      </c>
      <c r="Y61" s="12" t="str">
        <f aca="false">IF($A61="","",INDEX('Deployment Gates'!$C$5:$C$9,MATCH(AH61,'Deployment Gates'!$A$5:$A$9,0)))</f>
        <v/>
      </c>
      <c r="Z61" s="3"/>
      <c r="AA61" s="12" t="str">
        <f aca="false">IF($A61="","",IF(OR(AH61="Edge Orbit",AH61="Unstable Orbit",AH61="Critical Orbit",H61&gt;=4,G61&gt;=4,E61&gt;=4,J61&gt;=4),"Yes","No"))</f>
        <v/>
      </c>
      <c r="AB61" s="12" t="str">
        <f aca="false">IF($A61="","",IF(W61&lt;0,"Yes","No"))</f>
        <v/>
      </c>
      <c r="AC61" s="12" t="str">
        <f aca="false">IF($A61="","",INDEX($L$4:$R$4,1,MATCH(MIN(L61:R61),L61:R61,0))&amp;IF(COUNTIF(L61:R61,MIN(L61:R61))&gt;1," (+"&amp;(COUNTIF(L61:R61,MIN(L61:R61))-1)&amp;" tied)",""))</f>
        <v/>
      </c>
      <c r="AD61" s="12" t="str">
        <f aca="false">IF($A61="","",INDEX($E$4:$K$4,1,MATCH(MAX(E61:K61),E61:K61,0))&amp;IF(COUNTIF(E61:K61,MAX(E61:K61))&gt;1," (+"&amp;(COUNTIF(E61:K61,MAX(E61:K61))-1)&amp;" tied)",""))</f>
        <v/>
      </c>
      <c r="AE61" s="12" t="str">
        <f aca="false">IF($A61="","",INDEX('Control Uplift Planner'!$B$5:$B$11,MATCH(INDEX($L$4:$R$4,1,MATCH(MIN(L61:R61),L61:R61,0)),'Control Uplift Planner'!$A$5:$A$11,0)))</f>
        <v/>
      </c>
      <c r="AF61" s="13" t="str">
        <f aca="false">IF($A61="","",IF(MIN(IF(AND(E61&gt;=4,H61&gt;=4),3,9),IF(AND(OR(C61="Governed Operations Zone",C61="Autonomous Operations Zone"),E61&gt;=3),IF(MIN(L61:N61)=0,2,IF(MIN(L61:N61)=1,3,9)),9),IF(AND(OR(C61="Governed Operations Zone",C61="Autonomous Operations Zone"),S61&lt;4),3,9))=9,"None",IF(MIN(IF(AND(E61&gt;=4,H61&gt;=4),3,9),IF(AND(OR(C61="Governed Operations Zone",C61="Autonomous Operations Zone"),E61&gt;=3),IF(MIN(L61:N61)=0,2,IF(MIN(L61:N61)=1,3,9)),9),IF(AND(OR(C61="Governed Operations Zone",C61="Autonomous Operations Zone"),S61&lt;4),3,9))=1,"Critical Orbit",IF(MIN(IF(AND(E61&gt;=4,H61&gt;=4),3,9),IF(AND(OR(C61="Governed Operations Zone",C61="Autonomous Operations Zone"),E61&gt;=3),IF(MIN(L61:N61)=0,2,IF(MIN(L61:N61)=1,3,9)),9),IF(AND(OR(C61="Governed Operations Zone",C61="Autonomous Operations Zone"),S61&lt;4),3,9))=2,"Unstable Orbit","Edge Orbit"))))</f>
        <v/>
      </c>
      <c r="AG61" s="14" t="str">
        <f aca="false">IF($A61="","",IF(IF(AND(E61&gt;=4,H61&gt;=4),"R1 concentrated force; ","")&amp;IF(AND(OR(C61="Governed Operations Zone",C61="Autonomous Operations Zone"),E61&gt;=3,MIN(L61:N61)&lt;=1),"R2 mandatory control "&amp;INDEX($L$4:$N$4,1,MATCH(MIN(L61:N61),L61:N61,0))&amp;"="&amp;MIN(L61:N61)&amp;"; ","")&amp;IF(AND(OR(C61="Governed Operations Zone",C61="Autonomous Operations Zone"),S61&lt;4),"R3 evidence tier "&amp;S61&amp;"&lt;4; ","")="","-",IF(AND(E61&gt;=4,H61&gt;=4),"R1 concentrated force; ","")&amp;IF(AND(OR(C61="Governed Operations Zone",C61="Autonomous Operations Zone"),E61&gt;=3,MIN(L61:N61)&lt;=1),"R2 mandatory control "&amp;INDEX($L$4:$N$4,1,MATCH(MIN(L61:N61),L61:N61,0))&amp;"="&amp;MIN(L61:N61)&amp;"; ","")&amp;IF(AND(OR(C61="Governed Operations Zone",C61="Autonomous Operations Zone"),S61&lt;4),"R3 evidence tier "&amp;S61&amp;"&lt;4; ","")))</f>
        <v/>
      </c>
      <c r="AH61" s="14" t="str">
        <f aca="false">IF($A61="","",IF(MIN(IF(X61="Critical Orbit",1,IF(X61="Unstable Orbit",2,IF(X61="Edge Orbit",3,IF(X61="Controlled Orbit",4,5)))),IF(AF61="None",9,IF(AF61="Critical Orbit",1,IF(AF61="Unstable Orbit",2,IF(AF61="Edge Orbit",3,IF(AF61="Controlled Orbit",4,5))))))=1,"Critical Orbit",IF(MIN(IF(X61="Critical Orbit",1,IF(X61="Unstable Orbit",2,IF(X61="Edge Orbit",3,IF(X61="Controlled Orbit",4,5)))),IF(AF61="None",9,IF(AF61="Critical Orbit",1,IF(AF61="Unstable Orbit",2,IF(AF61="Edge Orbit",3,IF(AF61="Controlled Orbit",4,5))))))=2,"Unstable Orbit",IF(MIN(IF(X61="Critical Orbit",1,IF(X61="Unstable Orbit",2,IF(X61="Edge Orbit",3,IF(X61="Controlled Orbit",4,5)))),IF(AF61="None",9,IF(AF61="Critical Orbit",1,IF(AF61="Unstable Orbit",2,IF(AF61="Edge Orbit",3,IF(AF61="Controlled Orbit",4,5))))))=3,"Edge Orbit",IF(MIN(IF(X61="Critical Orbit",1,IF(X61="Unstable Orbit",2,IF(X61="Edge Orbit",3,IF(X61="Controlled Orbit",4,5)))),IF(AF61="None",9,IF(AF61="Critical Orbit",1,IF(AF61="Unstable Orbit",2,IF(AF61="Edge Orbit",3,IF(AF61="Controlled Orbit",4,5))))))=4,"Controlled Orbit","Stable Orbit")))))</f>
        <v/>
      </c>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12" t="str">
        <f aca="false">IF($A62="","",IF(AND(MAX(L62:R62)&gt;3,S62&lt;3),"Warning: EGI &gt;3 needs Tier 3+ evidence",IF(AND(C62="Autonomous Operations Zone",S62&lt;4),"Warning: Autonomous zone needs Tier 4 evidence","OK")))</f>
        <v/>
      </c>
      <c r="U62" s="10" t="str">
        <f aca="false">IF($A62="","",IF($D62="Basic",SUM(E62:K62)/35*100,SUMPRODUCT(E62:K62,INDEX('Weighted Scoring'!$B$5:$H$13,MATCH($B62,'Weighted Scoring'!$A$5:$A$13,0),0))/SUMPRODUCT(5,INDEX('Weighted Scoring'!$B$5:$H$13,MATCH($B62,'Weighted Scoring'!$A$5:$A$13,0),0))*100))</f>
        <v/>
      </c>
      <c r="V62" s="10" t="str">
        <f aca="false">IF($A62="","",IF($D62="Basic",SUM(L62:R62)/35*100,SUMPRODUCT(L62:R62,INDEX('Weighted Scoring'!$I$5:$O$13,MATCH($B62,'Weighted Scoring'!$A$5:$A$13,0),0))/SUMPRODUCT(5,INDEX('Weighted Scoring'!$I$5:$O$13,MATCH($B62,'Weighted Scoring'!$A$5:$A$13,0),0))*100))</f>
        <v/>
      </c>
      <c r="W62" s="10" t="str">
        <f aca="false">IF($A62="","",V62-U62)</f>
        <v/>
      </c>
      <c r="X62" s="12" t="str">
        <f aca="false">IF($A62="","",IF(W62&gt;=40,"Stable Orbit",IF(W62&gt;=15,"Controlled Orbit",IF(W62&gt;=-14,"Edge Orbit",IF(W62&gt;=-39,"Unstable Orbit","Critical Orbit")))))</f>
        <v/>
      </c>
      <c r="Y62" s="12" t="str">
        <f aca="false">IF($A62="","",INDEX('Deployment Gates'!$C$5:$C$9,MATCH(AH62,'Deployment Gates'!$A$5:$A$9,0)))</f>
        <v/>
      </c>
      <c r="Z62" s="3"/>
      <c r="AA62" s="12" t="str">
        <f aca="false">IF($A62="","",IF(OR(AH62="Edge Orbit",AH62="Unstable Orbit",AH62="Critical Orbit",H62&gt;=4,G62&gt;=4,E62&gt;=4,J62&gt;=4),"Yes","No"))</f>
        <v/>
      </c>
      <c r="AB62" s="12" t="str">
        <f aca="false">IF($A62="","",IF(W62&lt;0,"Yes","No"))</f>
        <v/>
      </c>
      <c r="AC62" s="12" t="str">
        <f aca="false">IF($A62="","",INDEX($L$4:$R$4,1,MATCH(MIN(L62:R62),L62:R62,0))&amp;IF(COUNTIF(L62:R62,MIN(L62:R62))&gt;1," (+"&amp;(COUNTIF(L62:R62,MIN(L62:R62))-1)&amp;" tied)",""))</f>
        <v/>
      </c>
      <c r="AD62" s="12" t="str">
        <f aca="false">IF($A62="","",INDEX($E$4:$K$4,1,MATCH(MAX(E62:K62),E62:K62,0))&amp;IF(COUNTIF(E62:K62,MAX(E62:K62))&gt;1," (+"&amp;(COUNTIF(E62:K62,MAX(E62:K62))-1)&amp;" tied)",""))</f>
        <v/>
      </c>
      <c r="AE62" s="12" t="str">
        <f aca="false">IF($A62="","",INDEX('Control Uplift Planner'!$B$5:$B$11,MATCH(INDEX($L$4:$R$4,1,MATCH(MIN(L62:R62),L62:R62,0)),'Control Uplift Planner'!$A$5:$A$11,0)))</f>
        <v/>
      </c>
      <c r="AF62" s="13" t="str">
        <f aca="false">IF($A62="","",IF(MIN(IF(AND(E62&gt;=4,H62&gt;=4),3,9),IF(AND(OR(C62="Governed Operations Zone",C62="Autonomous Operations Zone"),E62&gt;=3),IF(MIN(L62:N62)=0,2,IF(MIN(L62:N62)=1,3,9)),9),IF(AND(OR(C62="Governed Operations Zone",C62="Autonomous Operations Zone"),S62&lt;4),3,9))=9,"None",IF(MIN(IF(AND(E62&gt;=4,H62&gt;=4),3,9),IF(AND(OR(C62="Governed Operations Zone",C62="Autonomous Operations Zone"),E62&gt;=3),IF(MIN(L62:N62)=0,2,IF(MIN(L62:N62)=1,3,9)),9),IF(AND(OR(C62="Governed Operations Zone",C62="Autonomous Operations Zone"),S62&lt;4),3,9))=1,"Critical Orbit",IF(MIN(IF(AND(E62&gt;=4,H62&gt;=4),3,9),IF(AND(OR(C62="Governed Operations Zone",C62="Autonomous Operations Zone"),E62&gt;=3),IF(MIN(L62:N62)=0,2,IF(MIN(L62:N62)=1,3,9)),9),IF(AND(OR(C62="Governed Operations Zone",C62="Autonomous Operations Zone"),S62&lt;4),3,9))=2,"Unstable Orbit","Edge Orbit"))))</f>
        <v/>
      </c>
      <c r="AG62" s="14" t="str">
        <f aca="false">IF($A62="","",IF(IF(AND(E62&gt;=4,H62&gt;=4),"R1 concentrated force; ","")&amp;IF(AND(OR(C62="Governed Operations Zone",C62="Autonomous Operations Zone"),E62&gt;=3,MIN(L62:N62)&lt;=1),"R2 mandatory control "&amp;INDEX($L$4:$N$4,1,MATCH(MIN(L62:N62),L62:N62,0))&amp;"="&amp;MIN(L62:N62)&amp;"; ","")&amp;IF(AND(OR(C62="Governed Operations Zone",C62="Autonomous Operations Zone"),S62&lt;4),"R3 evidence tier "&amp;S62&amp;"&lt;4; ","")="","-",IF(AND(E62&gt;=4,H62&gt;=4),"R1 concentrated force; ","")&amp;IF(AND(OR(C62="Governed Operations Zone",C62="Autonomous Operations Zone"),E62&gt;=3,MIN(L62:N62)&lt;=1),"R2 mandatory control "&amp;INDEX($L$4:$N$4,1,MATCH(MIN(L62:N62),L62:N62,0))&amp;"="&amp;MIN(L62:N62)&amp;"; ","")&amp;IF(AND(OR(C62="Governed Operations Zone",C62="Autonomous Operations Zone"),S62&lt;4),"R3 evidence tier "&amp;S62&amp;"&lt;4; ","")))</f>
        <v/>
      </c>
      <c r="AH62" s="14" t="str">
        <f aca="false">IF($A62="","",IF(MIN(IF(X62="Critical Orbit",1,IF(X62="Unstable Orbit",2,IF(X62="Edge Orbit",3,IF(X62="Controlled Orbit",4,5)))),IF(AF62="None",9,IF(AF62="Critical Orbit",1,IF(AF62="Unstable Orbit",2,IF(AF62="Edge Orbit",3,IF(AF62="Controlled Orbit",4,5))))))=1,"Critical Orbit",IF(MIN(IF(X62="Critical Orbit",1,IF(X62="Unstable Orbit",2,IF(X62="Edge Orbit",3,IF(X62="Controlled Orbit",4,5)))),IF(AF62="None",9,IF(AF62="Critical Orbit",1,IF(AF62="Unstable Orbit",2,IF(AF62="Edge Orbit",3,IF(AF62="Controlled Orbit",4,5))))))=2,"Unstable Orbit",IF(MIN(IF(X62="Critical Orbit",1,IF(X62="Unstable Orbit",2,IF(X62="Edge Orbit",3,IF(X62="Controlled Orbit",4,5)))),IF(AF62="None",9,IF(AF62="Critical Orbit",1,IF(AF62="Unstable Orbit",2,IF(AF62="Edge Orbit",3,IF(AF62="Controlled Orbit",4,5))))))=3,"Edge Orbit",IF(MIN(IF(X62="Critical Orbit",1,IF(X62="Unstable Orbit",2,IF(X62="Edge Orbit",3,IF(X62="Controlled Orbit",4,5)))),IF(AF62="None",9,IF(AF62="Critical Orbit",1,IF(AF62="Unstable Orbit",2,IF(AF62="Edge Orbit",3,IF(AF62="Controlled Orbit",4,5))))))=4,"Controlled Orbit","Stable Orbit")))))</f>
        <v/>
      </c>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12" t="str">
        <f aca="false">IF($A63="","",IF(AND(MAX(L63:R63)&gt;3,S63&lt;3),"Warning: EGI &gt;3 needs Tier 3+ evidence",IF(AND(C63="Autonomous Operations Zone",S63&lt;4),"Warning: Autonomous zone needs Tier 4 evidence","OK")))</f>
        <v/>
      </c>
      <c r="U63" s="10" t="str">
        <f aca="false">IF($A63="","",IF($D63="Basic",SUM(E63:K63)/35*100,SUMPRODUCT(E63:K63,INDEX('Weighted Scoring'!$B$5:$H$13,MATCH($B63,'Weighted Scoring'!$A$5:$A$13,0),0))/SUMPRODUCT(5,INDEX('Weighted Scoring'!$B$5:$H$13,MATCH($B63,'Weighted Scoring'!$A$5:$A$13,0),0))*100))</f>
        <v/>
      </c>
      <c r="V63" s="10" t="str">
        <f aca="false">IF($A63="","",IF($D63="Basic",SUM(L63:R63)/35*100,SUMPRODUCT(L63:R63,INDEX('Weighted Scoring'!$I$5:$O$13,MATCH($B63,'Weighted Scoring'!$A$5:$A$13,0),0))/SUMPRODUCT(5,INDEX('Weighted Scoring'!$I$5:$O$13,MATCH($B63,'Weighted Scoring'!$A$5:$A$13,0),0))*100))</f>
        <v/>
      </c>
      <c r="W63" s="10" t="str">
        <f aca="false">IF($A63="","",V63-U63)</f>
        <v/>
      </c>
      <c r="X63" s="12" t="str">
        <f aca="false">IF($A63="","",IF(W63&gt;=40,"Stable Orbit",IF(W63&gt;=15,"Controlled Orbit",IF(W63&gt;=-14,"Edge Orbit",IF(W63&gt;=-39,"Unstable Orbit","Critical Orbit")))))</f>
        <v/>
      </c>
      <c r="Y63" s="12" t="str">
        <f aca="false">IF($A63="","",INDEX('Deployment Gates'!$C$5:$C$9,MATCH(AH63,'Deployment Gates'!$A$5:$A$9,0)))</f>
        <v/>
      </c>
      <c r="Z63" s="3"/>
      <c r="AA63" s="12" t="str">
        <f aca="false">IF($A63="","",IF(OR(AH63="Edge Orbit",AH63="Unstable Orbit",AH63="Critical Orbit",H63&gt;=4,G63&gt;=4,E63&gt;=4,J63&gt;=4),"Yes","No"))</f>
        <v/>
      </c>
      <c r="AB63" s="12" t="str">
        <f aca="false">IF($A63="","",IF(W63&lt;0,"Yes","No"))</f>
        <v/>
      </c>
      <c r="AC63" s="12" t="str">
        <f aca="false">IF($A63="","",INDEX($L$4:$R$4,1,MATCH(MIN(L63:R63),L63:R63,0))&amp;IF(COUNTIF(L63:R63,MIN(L63:R63))&gt;1," (+"&amp;(COUNTIF(L63:R63,MIN(L63:R63))-1)&amp;" tied)",""))</f>
        <v/>
      </c>
      <c r="AD63" s="12" t="str">
        <f aca="false">IF($A63="","",INDEX($E$4:$K$4,1,MATCH(MAX(E63:K63),E63:K63,0))&amp;IF(COUNTIF(E63:K63,MAX(E63:K63))&gt;1," (+"&amp;(COUNTIF(E63:K63,MAX(E63:K63))-1)&amp;" tied)",""))</f>
        <v/>
      </c>
      <c r="AE63" s="12" t="str">
        <f aca="false">IF($A63="","",INDEX('Control Uplift Planner'!$B$5:$B$11,MATCH(INDEX($L$4:$R$4,1,MATCH(MIN(L63:R63),L63:R63,0)),'Control Uplift Planner'!$A$5:$A$11,0)))</f>
        <v/>
      </c>
      <c r="AF63" s="13" t="str">
        <f aca="false">IF($A63="","",IF(MIN(IF(AND(E63&gt;=4,H63&gt;=4),3,9),IF(AND(OR(C63="Governed Operations Zone",C63="Autonomous Operations Zone"),E63&gt;=3),IF(MIN(L63:N63)=0,2,IF(MIN(L63:N63)=1,3,9)),9),IF(AND(OR(C63="Governed Operations Zone",C63="Autonomous Operations Zone"),S63&lt;4),3,9))=9,"None",IF(MIN(IF(AND(E63&gt;=4,H63&gt;=4),3,9),IF(AND(OR(C63="Governed Operations Zone",C63="Autonomous Operations Zone"),E63&gt;=3),IF(MIN(L63:N63)=0,2,IF(MIN(L63:N63)=1,3,9)),9),IF(AND(OR(C63="Governed Operations Zone",C63="Autonomous Operations Zone"),S63&lt;4),3,9))=1,"Critical Orbit",IF(MIN(IF(AND(E63&gt;=4,H63&gt;=4),3,9),IF(AND(OR(C63="Governed Operations Zone",C63="Autonomous Operations Zone"),E63&gt;=3),IF(MIN(L63:N63)=0,2,IF(MIN(L63:N63)=1,3,9)),9),IF(AND(OR(C63="Governed Operations Zone",C63="Autonomous Operations Zone"),S63&lt;4),3,9))=2,"Unstable Orbit","Edge Orbit"))))</f>
        <v/>
      </c>
      <c r="AG63" s="14" t="str">
        <f aca="false">IF($A63="","",IF(IF(AND(E63&gt;=4,H63&gt;=4),"R1 concentrated force; ","")&amp;IF(AND(OR(C63="Governed Operations Zone",C63="Autonomous Operations Zone"),E63&gt;=3,MIN(L63:N63)&lt;=1),"R2 mandatory control "&amp;INDEX($L$4:$N$4,1,MATCH(MIN(L63:N63),L63:N63,0))&amp;"="&amp;MIN(L63:N63)&amp;"; ","")&amp;IF(AND(OR(C63="Governed Operations Zone",C63="Autonomous Operations Zone"),S63&lt;4),"R3 evidence tier "&amp;S63&amp;"&lt;4; ","")="","-",IF(AND(E63&gt;=4,H63&gt;=4),"R1 concentrated force; ","")&amp;IF(AND(OR(C63="Governed Operations Zone",C63="Autonomous Operations Zone"),E63&gt;=3,MIN(L63:N63)&lt;=1),"R2 mandatory control "&amp;INDEX($L$4:$N$4,1,MATCH(MIN(L63:N63),L63:N63,0))&amp;"="&amp;MIN(L63:N63)&amp;"; ","")&amp;IF(AND(OR(C63="Governed Operations Zone",C63="Autonomous Operations Zone"),S63&lt;4),"R3 evidence tier "&amp;S63&amp;"&lt;4; ","")))</f>
        <v/>
      </c>
      <c r="AH63" s="14" t="str">
        <f aca="false">IF($A63="","",IF(MIN(IF(X63="Critical Orbit",1,IF(X63="Unstable Orbit",2,IF(X63="Edge Orbit",3,IF(X63="Controlled Orbit",4,5)))),IF(AF63="None",9,IF(AF63="Critical Orbit",1,IF(AF63="Unstable Orbit",2,IF(AF63="Edge Orbit",3,IF(AF63="Controlled Orbit",4,5))))))=1,"Critical Orbit",IF(MIN(IF(X63="Critical Orbit",1,IF(X63="Unstable Orbit",2,IF(X63="Edge Orbit",3,IF(X63="Controlled Orbit",4,5)))),IF(AF63="None",9,IF(AF63="Critical Orbit",1,IF(AF63="Unstable Orbit",2,IF(AF63="Edge Orbit",3,IF(AF63="Controlled Orbit",4,5))))))=2,"Unstable Orbit",IF(MIN(IF(X63="Critical Orbit",1,IF(X63="Unstable Orbit",2,IF(X63="Edge Orbit",3,IF(X63="Controlled Orbit",4,5)))),IF(AF63="None",9,IF(AF63="Critical Orbit",1,IF(AF63="Unstable Orbit",2,IF(AF63="Edge Orbit",3,IF(AF63="Controlled Orbit",4,5))))))=3,"Edge Orbit",IF(MIN(IF(X63="Critical Orbit",1,IF(X63="Unstable Orbit",2,IF(X63="Edge Orbit",3,IF(X63="Controlled Orbit",4,5)))),IF(AF63="None",9,IF(AF63="Critical Orbit",1,IF(AF63="Unstable Orbit",2,IF(AF63="Edge Orbit",3,IF(AF63="Controlled Orbit",4,5))))))=4,"Controlled Orbit","Stable Orbit")))))</f>
        <v/>
      </c>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12" t="str">
        <f aca="false">IF($A64="","",IF(AND(MAX(L64:R64)&gt;3,S64&lt;3),"Warning: EGI &gt;3 needs Tier 3+ evidence",IF(AND(C64="Autonomous Operations Zone",S64&lt;4),"Warning: Autonomous zone needs Tier 4 evidence","OK")))</f>
        <v/>
      </c>
      <c r="U64" s="10" t="str">
        <f aca="false">IF($A64="","",IF($D64="Basic",SUM(E64:K64)/35*100,SUMPRODUCT(E64:K64,INDEX('Weighted Scoring'!$B$5:$H$13,MATCH($B64,'Weighted Scoring'!$A$5:$A$13,0),0))/SUMPRODUCT(5,INDEX('Weighted Scoring'!$B$5:$H$13,MATCH($B64,'Weighted Scoring'!$A$5:$A$13,0),0))*100))</f>
        <v/>
      </c>
      <c r="V64" s="10" t="str">
        <f aca="false">IF($A64="","",IF($D64="Basic",SUM(L64:R64)/35*100,SUMPRODUCT(L64:R64,INDEX('Weighted Scoring'!$I$5:$O$13,MATCH($B64,'Weighted Scoring'!$A$5:$A$13,0),0))/SUMPRODUCT(5,INDEX('Weighted Scoring'!$I$5:$O$13,MATCH($B64,'Weighted Scoring'!$A$5:$A$13,0),0))*100))</f>
        <v/>
      </c>
      <c r="W64" s="10" t="str">
        <f aca="false">IF($A64="","",V64-U64)</f>
        <v/>
      </c>
      <c r="X64" s="12" t="str">
        <f aca="false">IF($A64="","",IF(W64&gt;=40,"Stable Orbit",IF(W64&gt;=15,"Controlled Orbit",IF(W64&gt;=-14,"Edge Orbit",IF(W64&gt;=-39,"Unstable Orbit","Critical Orbit")))))</f>
        <v/>
      </c>
      <c r="Y64" s="12" t="str">
        <f aca="false">IF($A64="","",INDEX('Deployment Gates'!$C$5:$C$9,MATCH(AH64,'Deployment Gates'!$A$5:$A$9,0)))</f>
        <v/>
      </c>
      <c r="Z64" s="3"/>
      <c r="AA64" s="12" t="str">
        <f aca="false">IF($A64="","",IF(OR(AH64="Edge Orbit",AH64="Unstable Orbit",AH64="Critical Orbit",H64&gt;=4,G64&gt;=4,E64&gt;=4,J64&gt;=4),"Yes","No"))</f>
        <v/>
      </c>
      <c r="AB64" s="12" t="str">
        <f aca="false">IF($A64="","",IF(W64&lt;0,"Yes","No"))</f>
        <v/>
      </c>
      <c r="AC64" s="12" t="str">
        <f aca="false">IF($A64="","",INDEX($L$4:$R$4,1,MATCH(MIN(L64:R64),L64:R64,0))&amp;IF(COUNTIF(L64:R64,MIN(L64:R64))&gt;1," (+"&amp;(COUNTIF(L64:R64,MIN(L64:R64))-1)&amp;" tied)",""))</f>
        <v/>
      </c>
      <c r="AD64" s="12" t="str">
        <f aca="false">IF($A64="","",INDEX($E$4:$K$4,1,MATCH(MAX(E64:K64),E64:K64,0))&amp;IF(COUNTIF(E64:K64,MAX(E64:K64))&gt;1," (+"&amp;(COUNTIF(E64:K64,MAX(E64:K64))-1)&amp;" tied)",""))</f>
        <v/>
      </c>
      <c r="AE64" s="12" t="str">
        <f aca="false">IF($A64="","",INDEX('Control Uplift Planner'!$B$5:$B$11,MATCH(INDEX($L$4:$R$4,1,MATCH(MIN(L64:R64),L64:R64,0)),'Control Uplift Planner'!$A$5:$A$11,0)))</f>
        <v/>
      </c>
      <c r="AF64" s="13" t="str">
        <f aca="false">IF($A64="","",IF(MIN(IF(AND(E64&gt;=4,H64&gt;=4),3,9),IF(AND(OR(C64="Governed Operations Zone",C64="Autonomous Operations Zone"),E64&gt;=3),IF(MIN(L64:N64)=0,2,IF(MIN(L64:N64)=1,3,9)),9),IF(AND(OR(C64="Governed Operations Zone",C64="Autonomous Operations Zone"),S64&lt;4),3,9))=9,"None",IF(MIN(IF(AND(E64&gt;=4,H64&gt;=4),3,9),IF(AND(OR(C64="Governed Operations Zone",C64="Autonomous Operations Zone"),E64&gt;=3),IF(MIN(L64:N64)=0,2,IF(MIN(L64:N64)=1,3,9)),9),IF(AND(OR(C64="Governed Operations Zone",C64="Autonomous Operations Zone"),S64&lt;4),3,9))=1,"Critical Orbit",IF(MIN(IF(AND(E64&gt;=4,H64&gt;=4),3,9),IF(AND(OR(C64="Governed Operations Zone",C64="Autonomous Operations Zone"),E64&gt;=3),IF(MIN(L64:N64)=0,2,IF(MIN(L64:N64)=1,3,9)),9),IF(AND(OR(C64="Governed Operations Zone",C64="Autonomous Operations Zone"),S64&lt;4),3,9))=2,"Unstable Orbit","Edge Orbit"))))</f>
        <v/>
      </c>
      <c r="AG64" s="14" t="str">
        <f aca="false">IF($A64="","",IF(IF(AND(E64&gt;=4,H64&gt;=4),"R1 concentrated force; ","")&amp;IF(AND(OR(C64="Governed Operations Zone",C64="Autonomous Operations Zone"),E64&gt;=3,MIN(L64:N64)&lt;=1),"R2 mandatory control "&amp;INDEX($L$4:$N$4,1,MATCH(MIN(L64:N64),L64:N64,0))&amp;"="&amp;MIN(L64:N64)&amp;"; ","")&amp;IF(AND(OR(C64="Governed Operations Zone",C64="Autonomous Operations Zone"),S64&lt;4),"R3 evidence tier "&amp;S64&amp;"&lt;4; ","")="","-",IF(AND(E64&gt;=4,H64&gt;=4),"R1 concentrated force; ","")&amp;IF(AND(OR(C64="Governed Operations Zone",C64="Autonomous Operations Zone"),E64&gt;=3,MIN(L64:N64)&lt;=1),"R2 mandatory control "&amp;INDEX($L$4:$N$4,1,MATCH(MIN(L64:N64),L64:N64,0))&amp;"="&amp;MIN(L64:N64)&amp;"; ","")&amp;IF(AND(OR(C64="Governed Operations Zone",C64="Autonomous Operations Zone"),S64&lt;4),"R3 evidence tier "&amp;S64&amp;"&lt;4; ","")))</f>
        <v/>
      </c>
      <c r="AH64" s="14" t="str">
        <f aca="false">IF($A64="","",IF(MIN(IF(X64="Critical Orbit",1,IF(X64="Unstable Orbit",2,IF(X64="Edge Orbit",3,IF(X64="Controlled Orbit",4,5)))),IF(AF64="None",9,IF(AF64="Critical Orbit",1,IF(AF64="Unstable Orbit",2,IF(AF64="Edge Orbit",3,IF(AF64="Controlled Orbit",4,5))))))=1,"Critical Orbit",IF(MIN(IF(X64="Critical Orbit",1,IF(X64="Unstable Orbit",2,IF(X64="Edge Orbit",3,IF(X64="Controlled Orbit",4,5)))),IF(AF64="None",9,IF(AF64="Critical Orbit",1,IF(AF64="Unstable Orbit",2,IF(AF64="Edge Orbit",3,IF(AF64="Controlled Orbit",4,5))))))=2,"Unstable Orbit",IF(MIN(IF(X64="Critical Orbit",1,IF(X64="Unstable Orbit",2,IF(X64="Edge Orbit",3,IF(X64="Controlled Orbit",4,5)))),IF(AF64="None",9,IF(AF64="Critical Orbit",1,IF(AF64="Unstable Orbit",2,IF(AF64="Edge Orbit",3,IF(AF64="Controlled Orbit",4,5))))))=3,"Edge Orbit",IF(MIN(IF(X64="Critical Orbit",1,IF(X64="Unstable Orbit",2,IF(X64="Edge Orbit",3,IF(X64="Controlled Orbit",4,5)))),IF(AF64="None",9,IF(AF64="Critical Orbit",1,IF(AF64="Unstable Orbit",2,IF(AF64="Edge Orbit",3,IF(AF64="Controlled Orbit",4,5))))))=4,"Controlled Orbit","Stable Orbit")))))</f>
        <v/>
      </c>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12" t="str">
        <f aca="false">IF($A65="","",IF(AND(MAX(L65:R65)&gt;3,S65&lt;3),"Warning: EGI &gt;3 needs Tier 3+ evidence",IF(AND(C65="Autonomous Operations Zone",S65&lt;4),"Warning: Autonomous zone needs Tier 4 evidence","OK")))</f>
        <v/>
      </c>
      <c r="U65" s="10" t="str">
        <f aca="false">IF($A65="","",IF($D65="Basic",SUM(E65:K65)/35*100,SUMPRODUCT(E65:K65,INDEX('Weighted Scoring'!$B$5:$H$13,MATCH($B65,'Weighted Scoring'!$A$5:$A$13,0),0))/SUMPRODUCT(5,INDEX('Weighted Scoring'!$B$5:$H$13,MATCH($B65,'Weighted Scoring'!$A$5:$A$13,0),0))*100))</f>
        <v/>
      </c>
      <c r="V65" s="10" t="str">
        <f aca="false">IF($A65="","",IF($D65="Basic",SUM(L65:R65)/35*100,SUMPRODUCT(L65:R65,INDEX('Weighted Scoring'!$I$5:$O$13,MATCH($B65,'Weighted Scoring'!$A$5:$A$13,0),0))/SUMPRODUCT(5,INDEX('Weighted Scoring'!$I$5:$O$13,MATCH($B65,'Weighted Scoring'!$A$5:$A$13,0),0))*100))</f>
        <v/>
      </c>
      <c r="W65" s="10" t="str">
        <f aca="false">IF($A65="","",V65-U65)</f>
        <v/>
      </c>
      <c r="X65" s="12" t="str">
        <f aca="false">IF($A65="","",IF(W65&gt;=40,"Stable Orbit",IF(W65&gt;=15,"Controlled Orbit",IF(W65&gt;=-14,"Edge Orbit",IF(W65&gt;=-39,"Unstable Orbit","Critical Orbit")))))</f>
        <v/>
      </c>
      <c r="Y65" s="12" t="str">
        <f aca="false">IF($A65="","",INDEX('Deployment Gates'!$C$5:$C$9,MATCH(AH65,'Deployment Gates'!$A$5:$A$9,0)))</f>
        <v/>
      </c>
      <c r="Z65" s="3"/>
      <c r="AA65" s="12" t="str">
        <f aca="false">IF($A65="","",IF(OR(AH65="Edge Orbit",AH65="Unstable Orbit",AH65="Critical Orbit",H65&gt;=4,G65&gt;=4,E65&gt;=4,J65&gt;=4),"Yes","No"))</f>
        <v/>
      </c>
      <c r="AB65" s="12" t="str">
        <f aca="false">IF($A65="","",IF(W65&lt;0,"Yes","No"))</f>
        <v/>
      </c>
      <c r="AC65" s="12" t="str">
        <f aca="false">IF($A65="","",INDEX($L$4:$R$4,1,MATCH(MIN(L65:R65),L65:R65,0))&amp;IF(COUNTIF(L65:R65,MIN(L65:R65))&gt;1," (+"&amp;(COUNTIF(L65:R65,MIN(L65:R65))-1)&amp;" tied)",""))</f>
        <v/>
      </c>
      <c r="AD65" s="12" t="str">
        <f aca="false">IF($A65="","",INDEX($E$4:$K$4,1,MATCH(MAX(E65:K65),E65:K65,0))&amp;IF(COUNTIF(E65:K65,MAX(E65:K65))&gt;1," (+"&amp;(COUNTIF(E65:K65,MAX(E65:K65))-1)&amp;" tied)",""))</f>
        <v/>
      </c>
      <c r="AE65" s="12" t="str">
        <f aca="false">IF($A65="","",INDEX('Control Uplift Planner'!$B$5:$B$11,MATCH(INDEX($L$4:$R$4,1,MATCH(MIN(L65:R65),L65:R65,0)),'Control Uplift Planner'!$A$5:$A$11,0)))</f>
        <v/>
      </c>
      <c r="AF65" s="13" t="str">
        <f aca="false">IF($A65="","",IF(MIN(IF(AND(E65&gt;=4,H65&gt;=4),3,9),IF(AND(OR(C65="Governed Operations Zone",C65="Autonomous Operations Zone"),E65&gt;=3),IF(MIN(L65:N65)=0,2,IF(MIN(L65:N65)=1,3,9)),9),IF(AND(OR(C65="Governed Operations Zone",C65="Autonomous Operations Zone"),S65&lt;4),3,9))=9,"None",IF(MIN(IF(AND(E65&gt;=4,H65&gt;=4),3,9),IF(AND(OR(C65="Governed Operations Zone",C65="Autonomous Operations Zone"),E65&gt;=3),IF(MIN(L65:N65)=0,2,IF(MIN(L65:N65)=1,3,9)),9),IF(AND(OR(C65="Governed Operations Zone",C65="Autonomous Operations Zone"),S65&lt;4),3,9))=1,"Critical Orbit",IF(MIN(IF(AND(E65&gt;=4,H65&gt;=4),3,9),IF(AND(OR(C65="Governed Operations Zone",C65="Autonomous Operations Zone"),E65&gt;=3),IF(MIN(L65:N65)=0,2,IF(MIN(L65:N65)=1,3,9)),9),IF(AND(OR(C65="Governed Operations Zone",C65="Autonomous Operations Zone"),S65&lt;4),3,9))=2,"Unstable Orbit","Edge Orbit"))))</f>
        <v/>
      </c>
      <c r="AG65" s="14" t="str">
        <f aca="false">IF($A65="","",IF(IF(AND(E65&gt;=4,H65&gt;=4),"R1 concentrated force; ","")&amp;IF(AND(OR(C65="Governed Operations Zone",C65="Autonomous Operations Zone"),E65&gt;=3,MIN(L65:N65)&lt;=1),"R2 mandatory control "&amp;INDEX($L$4:$N$4,1,MATCH(MIN(L65:N65),L65:N65,0))&amp;"="&amp;MIN(L65:N65)&amp;"; ","")&amp;IF(AND(OR(C65="Governed Operations Zone",C65="Autonomous Operations Zone"),S65&lt;4),"R3 evidence tier "&amp;S65&amp;"&lt;4; ","")="","-",IF(AND(E65&gt;=4,H65&gt;=4),"R1 concentrated force; ","")&amp;IF(AND(OR(C65="Governed Operations Zone",C65="Autonomous Operations Zone"),E65&gt;=3,MIN(L65:N65)&lt;=1),"R2 mandatory control "&amp;INDEX($L$4:$N$4,1,MATCH(MIN(L65:N65),L65:N65,0))&amp;"="&amp;MIN(L65:N65)&amp;"; ","")&amp;IF(AND(OR(C65="Governed Operations Zone",C65="Autonomous Operations Zone"),S65&lt;4),"R3 evidence tier "&amp;S65&amp;"&lt;4; ","")))</f>
        <v/>
      </c>
      <c r="AH65" s="14" t="str">
        <f aca="false">IF($A65="","",IF(MIN(IF(X65="Critical Orbit",1,IF(X65="Unstable Orbit",2,IF(X65="Edge Orbit",3,IF(X65="Controlled Orbit",4,5)))),IF(AF65="None",9,IF(AF65="Critical Orbit",1,IF(AF65="Unstable Orbit",2,IF(AF65="Edge Orbit",3,IF(AF65="Controlled Orbit",4,5))))))=1,"Critical Orbit",IF(MIN(IF(X65="Critical Orbit",1,IF(X65="Unstable Orbit",2,IF(X65="Edge Orbit",3,IF(X65="Controlled Orbit",4,5)))),IF(AF65="None",9,IF(AF65="Critical Orbit",1,IF(AF65="Unstable Orbit",2,IF(AF65="Edge Orbit",3,IF(AF65="Controlled Orbit",4,5))))))=2,"Unstable Orbit",IF(MIN(IF(X65="Critical Orbit",1,IF(X65="Unstable Orbit",2,IF(X65="Edge Orbit",3,IF(X65="Controlled Orbit",4,5)))),IF(AF65="None",9,IF(AF65="Critical Orbit",1,IF(AF65="Unstable Orbit",2,IF(AF65="Edge Orbit",3,IF(AF65="Controlled Orbit",4,5))))))=3,"Edge Orbit",IF(MIN(IF(X65="Critical Orbit",1,IF(X65="Unstable Orbit",2,IF(X65="Edge Orbit",3,IF(X65="Controlled Orbit",4,5)))),IF(AF65="None",9,IF(AF65="Critical Orbit",1,IF(AF65="Unstable Orbit",2,IF(AF65="Edge Orbit",3,IF(AF65="Controlled Orbit",4,5))))))=4,"Controlled Orbit","Stable Orbit")))))</f>
        <v/>
      </c>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12" t="str">
        <f aca="false">IF($A66="","",IF(AND(MAX(L66:R66)&gt;3,S66&lt;3),"Warning: EGI &gt;3 needs Tier 3+ evidence",IF(AND(C66="Autonomous Operations Zone",S66&lt;4),"Warning: Autonomous zone needs Tier 4 evidence","OK")))</f>
        <v/>
      </c>
      <c r="U66" s="10" t="str">
        <f aca="false">IF($A66="","",IF($D66="Basic",SUM(E66:K66)/35*100,SUMPRODUCT(E66:K66,INDEX('Weighted Scoring'!$B$5:$H$13,MATCH($B66,'Weighted Scoring'!$A$5:$A$13,0),0))/SUMPRODUCT(5,INDEX('Weighted Scoring'!$B$5:$H$13,MATCH($B66,'Weighted Scoring'!$A$5:$A$13,0),0))*100))</f>
        <v/>
      </c>
      <c r="V66" s="10" t="str">
        <f aca="false">IF($A66="","",IF($D66="Basic",SUM(L66:R66)/35*100,SUMPRODUCT(L66:R66,INDEX('Weighted Scoring'!$I$5:$O$13,MATCH($B66,'Weighted Scoring'!$A$5:$A$13,0),0))/SUMPRODUCT(5,INDEX('Weighted Scoring'!$I$5:$O$13,MATCH($B66,'Weighted Scoring'!$A$5:$A$13,0),0))*100))</f>
        <v/>
      </c>
      <c r="W66" s="10" t="str">
        <f aca="false">IF($A66="","",V66-U66)</f>
        <v/>
      </c>
      <c r="X66" s="12" t="str">
        <f aca="false">IF($A66="","",IF(W66&gt;=40,"Stable Orbit",IF(W66&gt;=15,"Controlled Orbit",IF(W66&gt;=-14,"Edge Orbit",IF(W66&gt;=-39,"Unstable Orbit","Critical Orbit")))))</f>
        <v/>
      </c>
      <c r="Y66" s="12" t="str">
        <f aca="false">IF($A66="","",INDEX('Deployment Gates'!$C$5:$C$9,MATCH(AH66,'Deployment Gates'!$A$5:$A$9,0)))</f>
        <v/>
      </c>
      <c r="Z66" s="3"/>
      <c r="AA66" s="12" t="str">
        <f aca="false">IF($A66="","",IF(OR(AH66="Edge Orbit",AH66="Unstable Orbit",AH66="Critical Orbit",H66&gt;=4,G66&gt;=4,E66&gt;=4,J66&gt;=4),"Yes","No"))</f>
        <v/>
      </c>
      <c r="AB66" s="12" t="str">
        <f aca="false">IF($A66="","",IF(W66&lt;0,"Yes","No"))</f>
        <v/>
      </c>
      <c r="AC66" s="12" t="str">
        <f aca="false">IF($A66="","",INDEX($L$4:$R$4,1,MATCH(MIN(L66:R66),L66:R66,0))&amp;IF(COUNTIF(L66:R66,MIN(L66:R66))&gt;1," (+"&amp;(COUNTIF(L66:R66,MIN(L66:R66))-1)&amp;" tied)",""))</f>
        <v/>
      </c>
      <c r="AD66" s="12" t="str">
        <f aca="false">IF($A66="","",INDEX($E$4:$K$4,1,MATCH(MAX(E66:K66),E66:K66,0))&amp;IF(COUNTIF(E66:K66,MAX(E66:K66))&gt;1," (+"&amp;(COUNTIF(E66:K66,MAX(E66:K66))-1)&amp;" tied)",""))</f>
        <v/>
      </c>
      <c r="AE66" s="12" t="str">
        <f aca="false">IF($A66="","",INDEX('Control Uplift Planner'!$B$5:$B$11,MATCH(INDEX($L$4:$R$4,1,MATCH(MIN(L66:R66),L66:R66,0)),'Control Uplift Planner'!$A$5:$A$11,0)))</f>
        <v/>
      </c>
      <c r="AF66" s="13" t="str">
        <f aca="false">IF($A66="","",IF(MIN(IF(AND(E66&gt;=4,H66&gt;=4),3,9),IF(AND(OR(C66="Governed Operations Zone",C66="Autonomous Operations Zone"),E66&gt;=3),IF(MIN(L66:N66)=0,2,IF(MIN(L66:N66)=1,3,9)),9),IF(AND(OR(C66="Governed Operations Zone",C66="Autonomous Operations Zone"),S66&lt;4),3,9))=9,"None",IF(MIN(IF(AND(E66&gt;=4,H66&gt;=4),3,9),IF(AND(OR(C66="Governed Operations Zone",C66="Autonomous Operations Zone"),E66&gt;=3),IF(MIN(L66:N66)=0,2,IF(MIN(L66:N66)=1,3,9)),9),IF(AND(OR(C66="Governed Operations Zone",C66="Autonomous Operations Zone"),S66&lt;4),3,9))=1,"Critical Orbit",IF(MIN(IF(AND(E66&gt;=4,H66&gt;=4),3,9),IF(AND(OR(C66="Governed Operations Zone",C66="Autonomous Operations Zone"),E66&gt;=3),IF(MIN(L66:N66)=0,2,IF(MIN(L66:N66)=1,3,9)),9),IF(AND(OR(C66="Governed Operations Zone",C66="Autonomous Operations Zone"),S66&lt;4),3,9))=2,"Unstable Orbit","Edge Orbit"))))</f>
        <v/>
      </c>
      <c r="AG66" s="14" t="str">
        <f aca="false">IF($A66="","",IF(IF(AND(E66&gt;=4,H66&gt;=4),"R1 concentrated force; ","")&amp;IF(AND(OR(C66="Governed Operations Zone",C66="Autonomous Operations Zone"),E66&gt;=3,MIN(L66:N66)&lt;=1),"R2 mandatory control "&amp;INDEX($L$4:$N$4,1,MATCH(MIN(L66:N66),L66:N66,0))&amp;"="&amp;MIN(L66:N66)&amp;"; ","")&amp;IF(AND(OR(C66="Governed Operations Zone",C66="Autonomous Operations Zone"),S66&lt;4),"R3 evidence tier "&amp;S66&amp;"&lt;4; ","")="","-",IF(AND(E66&gt;=4,H66&gt;=4),"R1 concentrated force; ","")&amp;IF(AND(OR(C66="Governed Operations Zone",C66="Autonomous Operations Zone"),E66&gt;=3,MIN(L66:N66)&lt;=1),"R2 mandatory control "&amp;INDEX($L$4:$N$4,1,MATCH(MIN(L66:N66),L66:N66,0))&amp;"="&amp;MIN(L66:N66)&amp;"; ","")&amp;IF(AND(OR(C66="Governed Operations Zone",C66="Autonomous Operations Zone"),S66&lt;4),"R3 evidence tier "&amp;S66&amp;"&lt;4; ","")))</f>
        <v/>
      </c>
      <c r="AH66" s="14" t="str">
        <f aca="false">IF($A66="","",IF(MIN(IF(X66="Critical Orbit",1,IF(X66="Unstable Orbit",2,IF(X66="Edge Orbit",3,IF(X66="Controlled Orbit",4,5)))),IF(AF66="None",9,IF(AF66="Critical Orbit",1,IF(AF66="Unstable Orbit",2,IF(AF66="Edge Orbit",3,IF(AF66="Controlled Orbit",4,5))))))=1,"Critical Orbit",IF(MIN(IF(X66="Critical Orbit",1,IF(X66="Unstable Orbit",2,IF(X66="Edge Orbit",3,IF(X66="Controlled Orbit",4,5)))),IF(AF66="None",9,IF(AF66="Critical Orbit",1,IF(AF66="Unstable Orbit",2,IF(AF66="Edge Orbit",3,IF(AF66="Controlled Orbit",4,5))))))=2,"Unstable Orbit",IF(MIN(IF(X66="Critical Orbit",1,IF(X66="Unstable Orbit",2,IF(X66="Edge Orbit",3,IF(X66="Controlled Orbit",4,5)))),IF(AF66="None",9,IF(AF66="Critical Orbit",1,IF(AF66="Unstable Orbit",2,IF(AF66="Edge Orbit",3,IF(AF66="Controlled Orbit",4,5))))))=3,"Edge Orbit",IF(MIN(IF(X66="Critical Orbit",1,IF(X66="Unstable Orbit",2,IF(X66="Edge Orbit",3,IF(X66="Controlled Orbit",4,5)))),IF(AF66="None",9,IF(AF66="Critical Orbit",1,IF(AF66="Unstable Orbit",2,IF(AF66="Edge Orbit",3,IF(AF66="Controlled Orbit",4,5))))))=4,"Controlled Orbit","Stable Orbit")))))</f>
        <v/>
      </c>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12" t="str">
        <f aca="false">IF($A67="","",IF(AND(MAX(L67:R67)&gt;3,S67&lt;3),"Warning: EGI &gt;3 needs Tier 3+ evidence",IF(AND(C67="Autonomous Operations Zone",S67&lt;4),"Warning: Autonomous zone needs Tier 4 evidence","OK")))</f>
        <v/>
      </c>
      <c r="U67" s="10" t="str">
        <f aca="false">IF($A67="","",IF($D67="Basic",SUM(E67:K67)/35*100,SUMPRODUCT(E67:K67,INDEX('Weighted Scoring'!$B$5:$H$13,MATCH($B67,'Weighted Scoring'!$A$5:$A$13,0),0))/SUMPRODUCT(5,INDEX('Weighted Scoring'!$B$5:$H$13,MATCH($B67,'Weighted Scoring'!$A$5:$A$13,0),0))*100))</f>
        <v/>
      </c>
      <c r="V67" s="10" t="str">
        <f aca="false">IF($A67="","",IF($D67="Basic",SUM(L67:R67)/35*100,SUMPRODUCT(L67:R67,INDEX('Weighted Scoring'!$I$5:$O$13,MATCH($B67,'Weighted Scoring'!$A$5:$A$13,0),0))/SUMPRODUCT(5,INDEX('Weighted Scoring'!$I$5:$O$13,MATCH($B67,'Weighted Scoring'!$A$5:$A$13,0),0))*100))</f>
        <v/>
      </c>
      <c r="W67" s="10" t="str">
        <f aca="false">IF($A67="","",V67-U67)</f>
        <v/>
      </c>
      <c r="X67" s="12" t="str">
        <f aca="false">IF($A67="","",IF(W67&gt;=40,"Stable Orbit",IF(W67&gt;=15,"Controlled Orbit",IF(W67&gt;=-14,"Edge Orbit",IF(W67&gt;=-39,"Unstable Orbit","Critical Orbit")))))</f>
        <v/>
      </c>
      <c r="Y67" s="12" t="str">
        <f aca="false">IF($A67="","",INDEX('Deployment Gates'!$C$5:$C$9,MATCH(AH67,'Deployment Gates'!$A$5:$A$9,0)))</f>
        <v/>
      </c>
      <c r="Z67" s="3"/>
      <c r="AA67" s="12" t="str">
        <f aca="false">IF($A67="","",IF(OR(AH67="Edge Orbit",AH67="Unstable Orbit",AH67="Critical Orbit",H67&gt;=4,G67&gt;=4,E67&gt;=4,J67&gt;=4),"Yes","No"))</f>
        <v/>
      </c>
      <c r="AB67" s="12" t="str">
        <f aca="false">IF($A67="","",IF(W67&lt;0,"Yes","No"))</f>
        <v/>
      </c>
      <c r="AC67" s="12" t="str">
        <f aca="false">IF($A67="","",INDEX($L$4:$R$4,1,MATCH(MIN(L67:R67),L67:R67,0))&amp;IF(COUNTIF(L67:R67,MIN(L67:R67))&gt;1," (+"&amp;(COUNTIF(L67:R67,MIN(L67:R67))-1)&amp;" tied)",""))</f>
        <v/>
      </c>
      <c r="AD67" s="12" t="str">
        <f aca="false">IF($A67="","",INDEX($E$4:$K$4,1,MATCH(MAX(E67:K67),E67:K67,0))&amp;IF(COUNTIF(E67:K67,MAX(E67:K67))&gt;1," (+"&amp;(COUNTIF(E67:K67,MAX(E67:K67))-1)&amp;" tied)",""))</f>
        <v/>
      </c>
      <c r="AE67" s="12" t="str">
        <f aca="false">IF($A67="","",INDEX('Control Uplift Planner'!$B$5:$B$11,MATCH(INDEX($L$4:$R$4,1,MATCH(MIN(L67:R67),L67:R67,0)),'Control Uplift Planner'!$A$5:$A$11,0)))</f>
        <v/>
      </c>
      <c r="AF67" s="13" t="str">
        <f aca="false">IF($A67="","",IF(MIN(IF(AND(E67&gt;=4,H67&gt;=4),3,9),IF(AND(OR(C67="Governed Operations Zone",C67="Autonomous Operations Zone"),E67&gt;=3),IF(MIN(L67:N67)=0,2,IF(MIN(L67:N67)=1,3,9)),9),IF(AND(OR(C67="Governed Operations Zone",C67="Autonomous Operations Zone"),S67&lt;4),3,9))=9,"None",IF(MIN(IF(AND(E67&gt;=4,H67&gt;=4),3,9),IF(AND(OR(C67="Governed Operations Zone",C67="Autonomous Operations Zone"),E67&gt;=3),IF(MIN(L67:N67)=0,2,IF(MIN(L67:N67)=1,3,9)),9),IF(AND(OR(C67="Governed Operations Zone",C67="Autonomous Operations Zone"),S67&lt;4),3,9))=1,"Critical Orbit",IF(MIN(IF(AND(E67&gt;=4,H67&gt;=4),3,9),IF(AND(OR(C67="Governed Operations Zone",C67="Autonomous Operations Zone"),E67&gt;=3),IF(MIN(L67:N67)=0,2,IF(MIN(L67:N67)=1,3,9)),9),IF(AND(OR(C67="Governed Operations Zone",C67="Autonomous Operations Zone"),S67&lt;4),3,9))=2,"Unstable Orbit","Edge Orbit"))))</f>
        <v/>
      </c>
      <c r="AG67" s="14" t="str">
        <f aca="false">IF($A67="","",IF(IF(AND(E67&gt;=4,H67&gt;=4),"R1 concentrated force; ","")&amp;IF(AND(OR(C67="Governed Operations Zone",C67="Autonomous Operations Zone"),E67&gt;=3,MIN(L67:N67)&lt;=1),"R2 mandatory control "&amp;INDEX($L$4:$N$4,1,MATCH(MIN(L67:N67),L67:N67,0))&amp;"="&amp;MIN(L67:N67)&amp;"; ","")&amp;IF(AND(OR(C67="Governed Operations Zone",C67="Autonomous Operations Zone"),S67&lt;4),"R3 evidence tier "&amp;S67&amp;"&lt;4; ","")="","-",IF(AND(E67&gt;=4,H67&gt;=4),"R1 concentrated force; ","")&amp;IF(AND(OR(C67="Governed Operations Zone",C67="Autonomous Operations Zone"),E67&gt;=3,MIN(L67:N67)&lt;=1),"R2 mandatory control "&amp;INDEX($L$4:$N$4,1,MATCH(MIN(L67:N67),L67:N67,0))&amp;"="&amp;MIN(L67:N67)&amp;"; ","")&amp;IF(AND(OR(C67="Governed Operations Zone",C67="Autonomous Operations Zone"),S67&lt;4),"R3 evidence tier "&amp;S67&amp;"&lt;4; ","")))</f>
        <v/>
      </c>
      <c r="AH67" s="14" t="str">
        <f aca="false">IF($A67="","",IF(MIN(IF(X67="Critical Orbit",1,IF(X67="Unstable Orbit",2,IF(X67="Edge Orbit",3,IF(X67="Controlled Orbit",4,5)))),IF(AF67="None",9,IF(AF67="Critical Orbit",1,IF(AF67="Unstable Orbit",2,IF(AF67="Edge Orbit",3,IF(AF67="Controlled Orbit",4,5))))))=1,"Critical Orbit",IF(MIN(IF(X67="Critical Orbit",1,IF(X67="Unstable Orbit",2,IF(X67="Edge Orbit",3,IF(X67="Controlled Orbit",4,5)))),IF(AF67="None",9,IF(AF67="Critical Orbit",1,IF(AF67="Unstable Orbit",2,IF(AF67="Edge Orbit",3,IF(AF67="Controlled Orbit",4,5))))))=2,"Unstable Orbit",IF(MIN(IF(X67="Critical Orbit",1,IF(X67="Unstable Orbit",2,IF(X67="Edge Orbit",3,IF(X67="Controlled Orbit",4,5)))),IF(AF67="None",9,IF(AF67="Critical Orbit",1,IF(AF67="Unstable Orbit",2,IF(AF67="Edge Orbit",3,IF(AF67="Controlled Orbit",4,5))))))=3,"Edge Orbit",IF(MIN(IF(X67="Critical Orbit",1,IF(X67="Unstable Orbit",2,IF(X67="Edge Orbit",3,IF(X67="Controlled Orbit",4,5)))),IF(AF67="None",9,IF(AF67="Critical Orbit",1,IF(AF67="Unstable Orbit",2,IF(AF67="Edge Orbit",3,IF(AF67="Controlled Orbit",4,5))))))=4,"Controlled Orbit","Stable Orbit")))))</f>
        <v/>
      </c>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12" t="str">
        <f aca="false">IF($A68="","",IF(AND(MAX(L68:R68)&gt;3,S68&lt;3),"Warning: EGI &gt;3 needs Tier 3+ evidence",IF(AND(C68="Autonomous Operations Zone",S68&lt;4),"Warning: Autonomous zone needs Tier 4 evidence","OK")))</f>
        <v/>
      </c>
      <c r="U68" s="10" t="str">
        <f aca="false">IF($A68="","",IF($D68="Basic",SUM(E68:K68)/35*100,SUMPRODUCT(E68:K68,INDEX('Weighted Scoring'!$B$5:$H$13,MATCH($B68,'Weighted Scoring'!$A$5:$A$13,0),0))/SUMPRODUCT(5,INDEX('Weighted Scoring'!$B$5:$H$13,MATCH($B68,'Weighted Scoring'!$A$5:$A$13,0),0))*100))</f>
        <v/>
      </c>
      <c r="V68" s="10" t="str">
        <f aca="false">IF($A68="","",IF($D68="Basic",SUM(L68:R68)/35*100,SUMPRODUCT(L68:R68,INDEX('Weighted Scoring'!$I$5:$O$13,MATCH($B68,'Weighted Scoring'!$A$5:$A$13,0),0))/SUMPRODUCT(5,INDEX('Weighted Scoring'!$I$5:$O$13,MATCH($B68,'Weighted Scoring'!$A$5:$A$13,0),0))*100))</f>
        <v/>
      </c>
      <c r="W68" s="10" t="str">
        <f aca="false">IF($A68="","",V68-U68)</f>
        <v/>
      </c>
      <c r="X68" s="12" t="str">
        <f aca="false">IF($A68="","",IF(W68&gt;=40,"Stable Orbit",IF(W68&gt;=15,"Controlled Orbit",IF(W68&gt;=-14,"Edge Orbit",IF(W68&gt;=-39,"Unstable Orbit","Critical Orbit")))))</f>
        <v/>
      </c>
      <c r="Y68" s="12" t="str">
        <f aca="false">IF($A68="","",INDEX('Deployment Gates'!$C$5:$C$9,MATCH(AH68,'Deployment Gates'!$A$5:$A$9,0)))</f>
        <v/>
      </c>
      <c r="Z68" s="3"/>
      <c r="AA68" s="12" t="str">
        <f aca="false">IF($A68="","",IF(OR(AH68="Edge Orbit",AH68="Unstable Orbit",AH68="Critical Orbit",H68&gt;=4,G68&gt;=4,E68&gt;=4,J68&gt;=4),"Yes","No"))</f>
        <v/>
      </c>
      <c r="AB68" s="12" t="str">
        <f aca="false">IF($A68="","",IF(W68&lt;0,"Yes","No"))</f>
        <v/>
      </c>
      <c r="AC68" s="12" t="str">
        <f aca="false">IF($A68="","",INDEX($L$4:$R$4,1,MATCH(MIN(L68:R68),L68:R68,0))&amp;IF(COUNTIF(L68:R68,MIN(L68:R68))&gt;1," (+"&amp;(COUNTIF(L68:R68,MIN(L68:R68))-1)&amp;" tied)",""))</f>
        <v/>
      </c>
      <c r="AD68" s="12" t="str">
        <f aca="false">IF($A68="","",INDEX($E$4:$K$4,1,MATCH(MAX(E68:K68),E68:K68,0))&amp;IF(COUNTIF(E68:K68,MAX(E68:K68))&gt;1," (+"&amp;(COUNTIF(E68:K68,MAX(E68:K68))-1)&amp;" tied)",""))</f>
        <v/>
      </c>
      <c r="AE68" s="12" t="str">
        <f aca="false">IF($A68="","",INDEX('Control Uplift Planner'!$B$5:$B$11,MATCH(INDEX($L$4:$R$4,1,MATCH(MIN(L68:R68),L68:R68,0)),'Control Uplift Planner'!$A$5:$A$11,0)))</f>
        <v/>
      </c>
      <c r="AF68" s="13" t="str">
        <f aca="false">IF($A68="","",IF(MIN(IF(AND(E68&gt;=4,H68&gt;=4),3,9),IF(AND(OR(C68="Governed Operations Zone",C68="Autonomous Operations Zone"),E68&gt;=3),IF(MIN(L68:N68)=0,2,IF(MIN(L68:N68)=1,3,9)),9),IF(AND(OR(C68="Governed Operations Zone",C68="Autonomous Operations Zone"),S68&lt;4),3,9))=9,"None",IF(MIN(IF(AND(E68&gt;=4,H68&gt;=4),3,9),IF(AND(OR(C68="Governed Operations Zone",C68="Autonomous Operations Zone"),E68&gt;=3),IF(MIN(L68:N68)=0,2,IF(MIN(L68:N68)=1,3,9)),9),IF(AND(OR(C68="Governed Operations Zone",C68="Autonomous Operations Zone"),S68&lt;4),3,9))=1,"Critical Orbit",IF(MIN(IF(AND(E68&gt;=4,H68&gt;=4),3,9),IF(AND(OR(C68="Governed Operations Zone",C68="Autonomous Operations Zone"),E68&gt;=3),IF(MIN(L68:N68)=0,2,IF(MIN(L68:N68)=1,3,9)),9),IF(AND(OR(C68="Governed Operations Zone",C68="Autonomous Operations Zone"),S68&lt;4),3,9))=2,"Unstable Orbit","Edge Orbit"))))</f>
        <v/>
      </c>
      <c r="AG68" s="14" t="str">
        <f aca="false">IF($A68="","",IF(IF(AND(E68&gt;=4,H68&gt;=4),"R1 concentrated force; ","")&amp;IF(AND(OR(C68="Governed Operations Zone",C68="Autonomous Operations Zone"),E68&gt;=3,MIN(L68:N68)&lt;=1),"R2 mandatory control "&amp;INDEX($L$4:$N$4,1,MATCH(MIN(L68:N68),L68:N68,0))&amp;"="&amp;MIN(L68:N68)&amp;"; ","")&amp;IF(AND(OR(C68="Governed Operations Zone",C68="Autonomous Operations Zone"),S68&lt;4),"R3 evidence tier "&amp;S68&amp;"&lt;4; ","")="","-",IF(AND(E68&gt;=4,H68&gt;=4),"R1 concentrated force; ","")&amp;IF(AND(OR(C68="Governed Operations Zone",C68="Autonomous Operations Zone"),E68&gt;=3,MIN(L68:N68)&lt;=1),"R2 mandatory control "&amp;INDEX($L$4:$N$4,1,MATCH(MIN(L68:N68),L68:N68,0))&amp;"="&amp;MIN(L68:N68)&amp;"; ","")&amp;IF(AND(OR(C68="Governed Operations Zone",C68="Autonomous Operations Zone"),S68&lt;4),"R3 evidence tier "&amp;S68&amp;"&lt;4; ","")))</f>
        <v/>
      </c>
      <c r="AH68" s="14" t="str">
        <f aca="false">IF($A68="","",IF(MIN(IF(X68="Critical Orbit",1,IF(X68="Unstable Orbit",2,IF(X68="Edge Orbit",3,IF(X68="Controlled Orbit",4,5)))),IF(AF68="None",9,IF(AF68="Critical Orbit",1,IF(AF68="Unstable Orbit",2,IF(AF68="Edge Orbit",3,IF(AF68="Controlled Orbit",4,5))))))=1,"Critical Orbit",IF(MIN(IF(X68="Critical Orbit",1,IF(X68="Unstable Orbit",2,IF(X68="Edge Orbit",3,IF(X68="Controlled Orbit",4,5)))),IF(AF68="None",9,IF(AF68="Critical Orbit",1,IF(AF68="Unstable Orbit",2,IF(AF68="Edge Orbit",3,IF(AF68="Controlled Orbit",4,5))))))=2,"Unstable Orbit",IF(MIN(IF(X68="Critical Orbit",1,IF(X68="Unstable Orbit",2,IF(X68="Edge Orbit",3,IF(X68="Controlled Orbit",4,5)))),IF(AF68="None",9,IF(AF68="Critical Orbit",1,IF(AF68="Unstable Orbit",2,IF(AF68="Edge Orbit",3,IF(AF68="Controlled Orbit",4,5))))))=3,"Edge Orbit",IF(MIN(IF(X68="Critical Orbit",1,IF(X68="Unstable Orbit",2,IF(X68="Edge Orbit",3,IF(X68="Controlled Orbit",4,5)))),IF(AF68="None",9,IF(AF68="Critical Orbit",1,IF(AF68="Unstable Orbit",2,IF(AF68="Edge Orbit",3,IF(AF68="Controlled Orbit",4,5))))))=4,"Controlled Orbit","Stable Orbit")))))</f>
        <v/>
      </c>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12" t="str">
        <f aca="false">IF($A69="","",IF(AND(MAX(L69:R69)&gt;3,S69&lt;3),"Warning: EGI &gt;3 needs Tier 3+ evidence",IF(AND(C69="Autonomous Operations Zone",S69&lt;4),"Warning: Autonomous zone needs Tier 4 evidence","OK")))</f>
        <v/>
      </c>
      <c r="U69" s="10" t="str">
        <f aca="false">IF($A69="","",IF($D69="Basic",SUM(E69:K69)/35*100,SUMPRODUCT(E69:K69,INDEX('Weighted Scoring'!$B$5:$H$13,MATCH($B69,'Weighted Scoring'!$A$5:$A$13,0),0))/SUMPRODUCT(5,INDEX('Weighted Scoring'!$B$5:$H$13,MATCH($B69,'Weighted Scoring'!$A$5:$A$13,0),0))*100))</f>
        <v/>
      </c>
      <c r="V69" s="10" t="str">
        <f aca="false">IF($A69="","",IF($D69="Basic",SUM(L69:R69)/35*100,SUMPRODUCT(L69:R69,INDEX('Weighted Scoring'!$I$5:$O$13,MATCH($B69,'Weighted Scoring'!$A$5:$A$13,0),0))/SUMPRODUCT(5,INDEX('Weighted Scoring'!$I$5:$O$13,MATCH($B69,'Weighted Scoring'!$A$5:$A$13,0),0))*100))</f>
        <v/>
      </c>
      <c r="W69" s="10" t="str">
        <f aca="false">IF($A69="","",V69-U69)</f>
        <v/>
      </c>
      <c r="X69" s="12" t="str">
        <f aca="false">IF($A69="","",IF(W69&gt;=40,"Stable Orbit",IF(W69&gt;=15,"Controlled Orbit",IF(W69&gt;=-14,"Edge Orbit",IF(W69&gt;=-39,"Unstable Orbit","Critical Orbit")))))</f>
        <v/>
      </c>
      <c r="Y69" s="12" t="str">
        <f aca="false">IF($A69="","",INDEX('Deployment Gates'!$C$5:$C$9,MATCH(AH69,'Deployment Gates'!$A$5:$A$9,0)))</f>
        <v/>
      </c>
      <c r="Z69" s="3"/>
      <c r="AA69" s="12" t="str">
        <f aca="false">IF($A69="","",IF(OR(AH69="Edge Orbit",AH69="Unstable Orbit",AH69="Critical Orbit",H69&gt;=4,G69&gt;=4,E69&gt;=4,J69&gt;=4),"Yes","No"))</f>
        <v/>
      </c>
      <c r="AB69" s="12" t="str">
        <f aca="false">IF($A69="","",IF(W69&lt;0,"Yes","No"))</f>
        <v/>
      </c>
      <c r="AC69" s="12" t="str">
        <f aca="false">IF($A69="","",INDEX($L$4:$R$4,1,MATCH(MIN(L69:R69),L69:R69,0))&amp;IF(COUNTIF(L69:R69,MIN(L69:R69))&gt;1," (+"&amp;(COUNTIF(L69:R69,MIN(L69:R69))-1)&amp;" tied)",""))</f>
        <v/>
      </c>
      <c r="AD69" s="12" t="str">
        <f aca="false">IF($A69="","",INDEX($E$4:$K$4,1,MATCH(MAX(E69:K69),E69:K69,0))&amp;IF(COUNTIF(E69:K69,MAX(E69:K69))&gt;1," (+"&amp;(COUNTIF(E69:K69,MAX(E69:K69))-1)&amp;" tied)",""))</f>
        <v/>
      </c>
      <c r="AE69" s="12" t="str">
        <f aca="false">IF($A69="","",INDEX('Control Uplift Planner'!$B$5:$B$11,MATCH(INDEX($L$4:$R$4,1,MATCH(MIN(L69:R69),L69:R69,0)),'Control Uplift Planner'!$A$5:$A$11,0)))</f>
        <v/>
      </c>
      <c r="AF69" s="13" t="str">
        <f aca="false">IF($A69="","",IF(MIN(IF(AND(E69&gt;=4,H69&gt;=4),3,9),IF(AND(OR(C69="Governed Operations Zone",C69="Autonomous Operations Zone"),E69&gt;=3),IF(MIN(L69:N69)=0,2,IF(MIN(L69:N69)=1,3,9)),9),IF(AND(OR(C69="Governed Operations Zone",C69="Autonomous Operations Zone"),S69&lt;4),3,9))=9,"None",IF(MIN(IF(AND(E69&gt;=4,H69&gt;=4),3,9),IF(AND(OR(C69="Governed Operations Zone",C69="Autonomous Operations Zone"),E69&gt;=3),IF(MIN(L69:N69)=0,2,IF(MIN(L69:N69)=1,3,9)),9),IF(AND(OR(C69="Governed Operations Zone",C69="Autonomous Operations Zone"),S69&lt;4),3,9))=1,"Critical Orbit",IF(MIN(IF(AND(E69&gt;=4,H69&gt;=4),3,9),IF(AND(OR(C69="Governed Operations Zone",C69="Autonomous Operations Zone"),E69&gt;=3),IF(MIN(L69:N69)=0,2,IF(MIN(L69:N69)=1,3,9)),9),IF(AND(OR(C69="Governed Operations Zone",C69="Autonomous Operations Zone"),S69&lt;4),3,9))=2,"Unstable Orbit","Edge Orbit"))))</f>
        <v/>
      </c>
      <c r="AG69" s="14" t="str">
        <f aca="false">IF($A69="","",IF(IF(AND(E69&gt;=4,H69&gt;=4),"R1 concentrated force; ","")&amp;IF(AND(OR(C69="Governed Operations Zone",C69="Autonomous Operations Zone"),E69&gt;=3,MIN(L69:N69)&lt;=1),"R2 mandatory control "&amp;INDEX($L$4:$N$4,1,MATCH(MIN(L69:N69),L69:N69,0))&amp;"="&amp;MIN(L69:N69)&amp;"; ","")&amp;IF(AND(OR(C69="Governed Operations Zone",C69="Autonomous Operations Zone"),S69&lt;4),"R3 evidence tier "&amp;S69&amp;"&lt;4; ","")="","-",IF(AND(E69&gt;=4,H69&gt;=4),"R1 concentrated force; ","")&amp;IF(AND(OR(C69="Governed Operations Zone",C69="Autonomous Operations Zone"),E69&gt;=3,MIN(L69:N69)&lt;=1),"R2 mandatory control "&amp;INDEX($L$4:$N$4,1,MATCH(MIN(L69:N69),L69:N69,0))&amp;"="&amp;MIN(L69:N69)&amp;"; ","")&amp;IF(AND(OR(C69="Governed Operations Zone",C69="Autonomous Operations Zone"),S69&lt;4),"R3 evidence tier "&amp;S69&amp;"&lt;4; ","")))</f>
        <v/>
      </c>
      <c r="AH69" s="14" t="str">
        <f aca="false">IF($A69="","",IF(MIN(IF(X69="Critical Orbit",1,IF(X69="Unstable Orbit",2,IF(X69="Edge Orbit",3,IF(X69="Controlled Orbit",4,5)))),IF(AF69="None",9,IF(AF69="Critical Orbit",1,IF(AF69="Unstable Orbit",2,IF(AF69="Edge Orbit",3,IF(AF69="Controlled Orbit",4,5))))))=1,"Critical Orbit",IF(MIN(IF(X69="Critical Orbit",1,IF(X69="Unstable Orbit",2,IF(X69="Edge Orbit",3,IF(X69="Controlled Orbit",4,5)))),IF(AF69="None",9,IF(AF69="Critical Orbit",1,IF(AF69="Unstable Orbit",2,IF(AF69="Edge Orbit",3,IF(AF69="Controlled Orbit",4,5))))))=2,"Unstable Orbit",IF(MIN(IF(X69="Critical Orbit",1,IF(X69="Unstable Orbit",2,IF(X69="Edge Orbit",3,IF(X69="Controlled Orbit",4,5)))),IF(AF69="None",9,IF(AF69="Critical Orbit",1,IF(AF69="Unstable Orbit",2,IF(AF69="Edge Orbit",3,IF(AF69="Controlled Orbit",4,5))))))=3,"Edge Orbit",IF(MIN(IF(X69="Critical Orbit",1,IF(X69="Unstable Orbit",2,IF(X69="Edge Orbit",3,IF(X69="Controlled Orbit",4,5)))),IF(AF69="None",9,IF(AF69="Critical Orbit",1,IF(AF69="Unstable Orbit",2,IF(AF69="Edge Orbit",3,IF(AF69="Controlled Orbit",4,5))))))=4,"Controlled Orbit","Stable Orbit")))))</f>
        <v/>
      </c>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12" t="str">
        <f aca="false">IF($A70="","",IF(AND(MAX(L70:R70)&gt;3,S70&lt;3),"Warning: EGI &gt;3 needs Tier 3+ evidence",IF(AND(C70="Autonomous Operations Zone",S70&lt;4),"Warning: Autonomous zone needs Tier 4 evidence","OK")))</f>
        <v/>
      </c>
      <c r="U70" s="10" t="str">
        <f aca="false">IF($A70="","",IF($D70="Basic",SUM(E70:K70)/35*100,SUMPRODUCT(E70:K70,INDEX('Weighted Scoring'!$B$5:$H$13,MATCH($B70,'Weighted Scoring'!$A$5:$A$13,0),0))/SUMPRODUCT(5,INDEX('Weighted Scoring'!$B$5:$H$13,MATCH($B70,'Weighted Scoring'!$A$5:$A$13,0),0))*100))</f>
        <v/>
      </c>
      <c r="V70" s="10" t="str">
        <f aca="false">IF($A70="","",IF($D70="Basic",SUM(L70:R70)/35*100,SUMPRODUCT(L70:R70,INDEX('Weighted Scoring'!$I$5:$O$13,MATCH($B70,'Weighted Scoring'!$A$5:$A$13,0),0))/SUMPRODUCT(5,INDEX('Weighted Scoring'!$I$5:$O$13,MATCH($B70,'Weighted Scoring'!$A$5:$A$13,0),0))*100))</f>
        <v/>
      </c>
      <c r="W70" s="10" t="str">
        <f aca="false">IF($A70="","",V70-U70)</f>
        <v/>
      </c>
      <c r="X70" s="12" t="str">
        <f aca="false">IF($A70="","",IF(W70&gt;=40,"Stable Orbit",IF(W70&gt;=15,"Controlled Orbit",IF(W70&gt;=-14,"Edge Orbit",IF(W70&gt;=-39,"Unstable Orbit","Critical Orbit")))))</f>
        <v/>
      </c>
      <c r="Y70" s="12" t="str">
        <f aca="false">IF($A70="","",INDEX('Deployment Gates'!$C$5:$C$9,MATCH(AH70,'Deployment Gates'!$A$5:$A$9,0)))</f>
        <v/>
      </c>
      <c r="Z70" s="3"/>
      <c r="AA70" s="12" t="str">
        <f aca="false">IF($A70="","",IF(OR(AH70="Edge Orbit",AH70="Unstable Orbit",AH70="Critical Orbit",H70&gt;=4,G70&gt;=4,E70&gt;=4,J70&gt;=4),"Yes","No"))</f>
        <v/>
      </c>
      <c r="AB70" s="12" t="str">
        <f aca="false">IF($A70="","",IF(W70&lt;0,"Yes","No"))</f>
        <v/>
      </c>
      <c r="AC70" s="12" t="str">
        <f aca="false">IF($A70="","",INDEX($L$4:$R$4,1,MATCH(MIN(L70:R70),L70:R70,0))&amp;IF(COUNTIF(L70:R70,MIN(L70:R70))&gt;1," (+"&amp;(COUNTIF(L70:R70,MIN(L70:R70))-1)&amp;" tied)",""))</f>
        <v/>
      </c>
      <c r="AD70" s="12" t="str">
        <f aca="false">IF($A70="","",INDEX($E$4:$K$4,1,MATCH(MAX(E70:K70),E70:K70,0))&amp;IF(COUNTIF(E70:K70,MAX(E70:K70))&gt;1," (+"&amp;(COUNTIF(E70:K70,MAX(E70:K70))-1)&amp;" tied)",""))</f>
        <v/>
      </c>
      <c r="AE70" s="12" t="str">
        <f aca="false">IF($A70="","",INDEX('Control Uplift Planner'!$B$5:$B$11,MATCH(INDEX($L$4:$R$4,1,MATCH(MIN(L70:R70),L70:R70,0)),'Control Uplift Planner'!$A$5:$A$11,0)))</f>
        <v/>
      </c>
      <c r="AF70" s="13" t="str">
        <f aca="false">IF($A70="","",IF(MIN(IF(AND(E70&gt;=4,H70&gt;=4),3,9),IF(AND(OR(C70="Governed Operations Zone",C70="Autonomous Operations Zone"),E70&gt;=3),IF(MIN(L70:N70)=0,2,IF(MIN(L70:N70)=1,3,9)),9),IF(AND(OR(C70="Governed Operations Zone",C70="Autonomous Operations Zone"),S70&lt;4),3,9))=9,"None",IF(MIN(IF(AND(E70&gt;=4,H70&gt;=4),3,9),IF(AND(OR(C70="Governed Operations Zone",C70="Autonomous Operations Zone"),E70&gt;=3),IF(MIN(L70:N70)=0,2,IF(MIN(L70:N70)=1,3,9)),9),IF(AND(OR(C70="Governed Operations Zone",C70="Autonomous Operations Zone"),S70&lt;4),3,9))=1,"Critical Orbit",IF(MIN(IF(AND(E70&gt;=4,H70&gt;=4),3,9),IF(AND(OR(C70="Governed Operations Zone",C70="Autonomous Operations Zone"),E70&gt;=3),IF(MIN(L70:N70)=0,2,IF(MIN(L70:N70)=1,3,9)),9),IF(AND(OR(C70="Governed Operations Zone",C70="Autonomous Operations Zone"),S70&lt;4),3,9))=2,"Unstable Orbit","Edge Orbit"))))</f>
        <v/>
      </c>
      <c r="AG70" s="14" t="str">
        <f aca="false">IF($A70="","",IF(IF(AND(E70&gt;=4,H70&gt;=4),"R1 concentrated force; ","")&amp;IF(AND(OR(C70="Governed Operations Zone",C70="Autonomous Operations Zone"),E70&gt;=3,MIN(L70:N70)&lt;=1),"R2 mandatory control "&amp;INDEX($L$4:$N$4,1,MATCH(MIN(L70:N70),L70:N70,0))&amp;"="&amp;MIN(L70:N70)&amp;"; ","")&amp;IF(AND(OR(C70="Governed Operations Zone",C70="Autonomous Operations Zone"),S70&lt;4),"R3 evidence tier "&amp;S70&amp;"&lt;4; ","")="","-",IF(AND(E70&gt;=4,H70&gt;=4),"R1 concentrated force; ","")&amp;IF(AND(OR(C70="Governed Operations Zone",C70="Autonomous Operations Zone"),E70&gt;=3,MIN(L70:N70)&lt;=1),"R2 mandatory control "&amp;INDEX($L$4:$N$4,1,MATCH(MIN(L70:N70),L70:N70,0))&amp;"="&amp;MIN(L70:N70)&amp;"; ","")&amp;IF(AND(OR(C70="Governed Operations Zone",C70="Autonomous Operations Zone"),S70&lt;4),"R3 evidence tier "&amp;S70&amp;"&lt;4; ","")))</f>
        <v/>
      </c>
      <c r="AH70" s="14" t="str">
        <f aca="false">IF($A70="","",IF(MIN(IF(X70="Critical Orbit",1,IF(X70="Unstable Orbit",2,IF(X70="Edge Orbit",3,IF(X70="Controlled Orbit",4,5)))),IF(AF70="None",9,IF(AF70="Critical Orbit",1,IF(AF70="Unstable Orbit",2,IF(AF70="Edge Orbit",3,IF(AF70="Controlled Orbit",4,5))))))=1,"Critical Orbit",IF(MIN(IF(X70="Critical Orbit",1,IF(X70="Unstable Orbit",2,IF(X70="Edge Orbit",3,IF(X70="Controlled Orbit",4,5)))),IF(AF70="None",9,IF(AF70="Critical Orbit",1,IF(AF70="Unstable Orbit",2,IF(AF70="Edge Orbit",3,IF(AF70="Controlled Orbit",4,5))))))=2,"Unstable Orbit",IF(MIN(IF(X70="Critical Orbit",1,IF(X70="Unstable Orbit",2,IF(X70="Edge Orbit",3,IF(X70="Controlled Orbit",4,5)))),IF(AF70="None",9,IF(AF70="Critical Orbit",1,IF(AF70="Unstable Orbit",2,IF(AF70="Edge Orbit",3,IF(AF70="Controlled Orbit",4,5))))))=3,"Edge Orbit",IF(MIN(IF(X70="Critical Orbit",1,IF(X70="Unstable Orbit",2,IF(X70="Edge Orbit",3,IF(X70="Controlled Orbit",4,5)))),IF(AF70="None",9,IF(AF70="Critical Orbit",1,IF(AF70="Unstable Orbit",2,IF(AF70="Edge Orbit",3,IF(AF70="Controlled Orbit",4,5))))))=4,"Controlled Orbit","Stable Orbit")))))</f>
        <v/>
      </c>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12" t="str">
        <f aca="false">IF($A71="","",IF(AND(MAX(L71:R71)&gt;3,S71&lt;3),"Warning: EGI &gt;3 needs Tier 3+ evidence",IF(AND(C71="Autonomous Operations Zone",S71&lt;4),"Warning: Autonomous zone needs Tier 4 evidence","OK")))</f>
        <v/>
      </c>
      <c r="U71" s="10" t="str">
        <f aca="false">IF($A71="","",IF($D71="Basic",SUM(E71:K71)/35*100,SUMPRODUCT(E71:K71,INDEX('Weighted Scoring'!$B$5:$H$13,MATCH($B71,'Weighted Scoring'!$A$5:$A$13,0),0))/SUMPRODUCT(5,INDEX('Weighted Scoring'!$B$5:$H$13,MATCH($B71,'Weighted Scoring'!$A$5:$A$13,0),0))*100))</f>
        <v/>
      </c>
      <c r="V71" s="10" t="str">
        <f aca="false">IF($A71="","",IF($D71="Basic",SUM(L71:R71)/35*100,SUMPRODUCT(L71:R71,INDEX('Weighted Scoring'!$I$5:$O$13,MATCH($B71,'Weighted Scoring'!$A$5:$A$13,0),0))/SUMPRODUCT(5,INDEX('Weighted Scoring'!$I$5:$O$13,MATCH($B71,'Weighted Scoring'!$A$5:$A$13,0),0))*100))</f>
        <v/>
      </c>
      <c r="W71" s="10" t="str">
        <f aca="false">IF($A71="","",V71-U71)</f>
        <v/>
      </c>
      <c r="X71" s="12" t="str">
        <f aca="false">IF($A71="","",IF(W71&gt;=40,"Stable Orbit",IF(W71&gt;=15,"Controlled Orbit",IF(W71&gt;=-14,"Edge Orbit",IF(W71&gt;=-39,"Unstable Orbit","Critical Orbit")))))</f>
        <v/>
      </c>
      <c r="Y71" s="12" t="str">
        <f aca="false">IF($A71="","",INDEX('Deployment Gates'!$C$5:$C$9,MATCH(AH71,'Deployment Gates'!$A$5:$A$9,0)))</f>
        <v/>
      </c>
      <c r="Z71" s="3"/>
      <c r="AA71" s="12" t="str">
        <f aca="false">IF($A71="","",IF(OR(AH71="Edge Orbit",AH71="Unstable Orbit",AH71="Critical Orbit",H71&gt;=4,G71&gt;=4,E71&gt;=4,J71&gt;=4),"Yes","No"))</f>
        <v/>
      </c>
      <c r="AB71" s="12" t="str">
        <f aca="false">IF($A71="","",IF(W71&lt;0,"Yes","No"))</f>
        <v/>
      </c>
      <c r="AC71" s="12" t="str">
        <f aca="false">IF($A71="","",INDEX($L$4:$R$4,1,MATCH(MIN(L71:R71),L71:R71,0))&amp;IF(COUNTIF(L71:R71,MIN(L71:R71))&gt;1," (+"&amp;(COUNTIF(L71:R71,MIN(L71:R71))-1)&amp;" tied)",""))</f>
        <v/>
      </c>
      <c r="AD71" s="12" t="str">
        <f aca="false">IF($A71="","",INDEX($E$4:$K$4,1,MATCH(MAX(E71:K71),E71:K71,0))&amp;IF(COUNTIF(E71:K71,MAX(E71:K71))&gt;1," (+"&amp;(COUNTIF(E71:K71,MAX(E71:K71))-1)&amp;" tied)",""))</f>
        <v/>
      </c>
      <c r="AE71" s="12" t="str">
        <f aca="false">IF($A71="","",INDEX('Control Uplift Planner'!$B$5:$B$11,MATCH(INDEX($L$4:$R$4,1,MATCH(MIN(L71:R71),L71:R71,0)),'Control Uplift Planner'!$A$5:$A$11,0)))</f>
        <v/>
      </c>
      <c r="AF71" s="13" t="str">
        <f aca="false">IF($A71="","",IF(MIN(IF(AND(E71&gt;=4,H71&gt;=4),3,9),IF(AND(OR(C71="Governed Operations Zone",C71="Autonomous Operations Zone"),E71&gt;=3),IF(MIN(L71:N71)=0,2,IF(MIN(L71:N71)=1,3,9)),9),IF(AND(OR(C71="Governed Operations Zone",C71="Autonomous Operations Zone"),S71&lt;4),3,9))=9,"None",IF(MIN(IF(AND(E71&gt;=4,H71&gt;=4),3,9),IF(AND(OR(C71="Governed Operations Zone",C71="Autonomous Operations Zone"),E71&gt;=3),IF(MIN(L71:N71)=0,2,IF(MIN(L71:N71)=1,3,9)),9),IF(AND(OR(C71="Governed Operations Zone",C71="Autonomous Operations Zone"),S71&lt;4),3,9))=1,"Critical Orbit",IF(MIN(IF(AND(E71&gt;=4,H71&gt;=4),3,9),IF(AND(OR(C71="Governed Operations Zone",C71="Autonomous Operations Zone"),E71&gt;=3),IF(MIN(L71:N71)=0,2,IF(MIN(L71:N71)=1,3,9)),9),IF(AND(OR(C71="Governed Operations Zone",C71="Autonomous Operations Zone"),S71&lt;4),3,9))=2,"Unstable Orbit","Edge Orbit"))))</f>
        <v/>
      </c>
      <c r="AG71" s="14" t="str">
        <f aca="false">IF($A71="","",IF(IF(AND(E71&gt;=4,H71&gt;=4),"R1 concentrated force; ","")&amp;IF(AND(OR(C71="Governed Operations Zone",C71="Autonomous Operations Zone"),E71&gt;=3,MIN(L71:N71)&lt;=1),"R2 mandatory control "&amp;INDEX($L$4:$N$4,1,MATCH(MIN(L71:N71),L71:N71,0))&amp;"="&amp;MIN(L71:N71)&amp;"; ","")&amp;IF(AND(OR(C71="Governed Operations Zone",C71="Autonomous Operations Zone"),S71&lt;4),"R3 evidence tier "&amp;S71&amp;"&lt;4; ","")="","-",IF(AND(E71&gt;=4,H71&gt;=4),"R1 concentrated force; ","")&amp;IF(AND(OR(C71="Governed Operations Zone",C71="Autonomous Operations Zone"),E71&gt;=3,MIN(L71:N71)&lt;=1),"R2 mandatory control "&amp;INDEX($L$4:$N$4,1,MATCH(MIN(L71:N71),L71:N71,0))&amp;"="&amp;MIN(L71:N71)&amp;"; ","")&amp;IF(AND(OR(C71="Governed Operations Zone",C71="Autonomous Operations Zone"),S71&lt;4),"R3 evidence tier "&amp;S71&amp;"&lt;4; ","")))</f>
        <v/>
      </c>
      <c r="AH71" s="14" t="str">
        <f aca="false">IF($A71="","",IF(MIN(IF(X71="Critical Orbit",1,IF(X71="Unstable Orbit",2,IF(X71="Edge Orbit",3,IF(X71="Controlled Orbit",4,5)))),IF(AF71="None",9,IF(AF71="Critical Orbit",1,IF(AF71="Unstable Orbit",2,IF(AF71="Edge Orbit",3,IF(AF71="Controlled Orbit",4,5))))))=1,"Critical Orbit",IF(MIN(IF(X71="Critical Orbit",1,IF(X71="Unstable Orbit",2,IF(X71="Edge Orbit",3,IF(X71="Controlled Orbit",4,5)))),IF(AF71="None",9,IF(AF71="Critical Orbit",1,IF(AF71="Unstable Orbit",2,IF(AF71="Edge Orbit",3,IF(AF71="Controlled Orbit",4,5))))))=2,"Unstable Orbit",IF(MIN(IF(X71="Critical Orbit",1,IF(X71="Unstable Orbit",2,IF(X71="Edge Orbit",3,IF(X71="Controlled Orbit",4,5)))),IF(AF71="None",9,IF(AF71="Critical Orbit",1,IF(AF71="Unstable Orbit",2,IF(AF71="Edge Orbit",3,IF(AF71="Controlled Orbit",4,5))))))=3,"Edge Orbit",IF(MIN(IF(X71="Critical Orbit",1,IF(X71="Unstable Orbit",2,IF(X71="Edge Orbit",3,IF(X71="Controlled Orbit",4,5)))),IF(AF71="None",9,IF(AF71="Critical Orbit",1,IF(AF71="Unstable Orbit",2,IF(AF71="Edge Orbit",3,IF(AF71="Controlled Orbit",4,5))))))=4,"Controlled Orbit","Stable Orbit")))))</f>
        <v/>
      </c>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12" t="str">
        <f aca="false">IF($A72="","",IF(AND(MAX(L72:R72)&gt;3,S72&lt;3),"Warning: EGI &gt;3 needs Tier 3+ evidence",IF(AND(C72="Autonomous Operations Zone",S72&lt;4),"Warning: Autonomous zone needs Tier 4 evidence","OK")))</f>
        <v/>
      </c>
      <c r="U72" s="10" t="str">
        <f aca="false">IF($A72="","",IF($D72="Basic",SUM(E72:K72)/35*100,SUMPRODUCT(E72:K72,INDEX('Weighted Scoring'!$B$5:$H$13,MATCH($B72,'Weighted Scoring'!$A$5:$A$13,0),0))/SUMPRODUCT(5,INDEX('Weighted Scoring'!$B$5:$H$13,MATCH($B72,'Weighted Scoring'!$A$5:$A$13,0),0))*100))</f>
        <v/>
      </c>
      <c r="V72" s="10" t="str">
        <f aca="false">IF($A72="","",IF($D72="Basic",SUM(L72:R72)/35*100,SUMPRODUCT(L72:R72,INDEX('Weighted Scoring'!$I$5:$O$13,MATCH($B72,'Weighted Scoring'!$A$5:$A$13,0),0))/SUMPRODUCT(5,INDEX('Weighted Scoring'!$I$5:$O$13,MATCH($B72,'Weighted Scoring'!$A$5:$A$13,0),0))*100))</f>
        <v/>
      </c>
      <c r="W72" s="10" t="str">
        <f aca="false">IF($A72="","",V72-U72)</f>
        <v/>
      </c>
      <c r="X72" s="12" t="str">
        <f aca="false">IF($A72="","",IF(W72&gt;=40,"Stable Orbit",IF(W72&gt;=15,"Controlled Orbit",IF(W72&gt;=-14,"Edge Orbit",IF(W72&gt;=-39,"Unstable Orbit","Critical Orbit")))))</f>
        <v/>
      </c>
      <c r="Y72" s="12" t="str">
        <f aca="false">IF($A72="","",INDEX('Deployment Gates'!$C$5:$C$9,MATCH(AH72,'Deployment Gates'!$A$5:$A$9,0)))</f>
        <v/>
      </c>
      <c r="Z72" s="3"/>
      <c r="AA72" s="12" t="str">
        <f aca="false">IF($A72="","",IF(OR(AH72="Edge Orbit",AH72="Unstable Orbit",AH72="Critical Orbit",H72&gt;=4,G72&gt;=4,E72&gt;=4,J72&gt;=4),"Yes","No"))</f>
        <v/>
      </c>
      <c r="AB72" s="12" t="str">
        <f aca="false">IF($A72="","",IF(W72&lt;0,"Yes","No"))</f>
        <v/>
      </c>
      <c r="AC72" s="12" t="str">
        <f aca="false">IF($A72="","",INDEX($L$4:$R$4,1,MATCH(MIN(L72:R72),L72:R72,0))&amp;IF(COUNTIF(L72:R72,MIN(L72:R72))&gt;1," (+"&amp;(COUNTIF(L72:R72,MIN(L72:R72))-1)&amp;" tied)",""))</f>
        <v/>
      </c>
      <c r="AD72" s="12" t="str">
        <f aca="false">IF($A72="","",INDEX($E$4:$K$4,1,MATCH(MAX(E72:K72),E72:K72,0))&amp;IF(COUNTIF(E72:K72,MAX(E72:K72))&gt;1," (+"&amp;(COUNTIF(E72:K72,MAX(E72:K72))-1)&amp;" tied)",""))</f>
        <v/>
      </c>
      <c r="AE72" s="12" t="str">
        <f aca="false">IF($A72="","",INDEX('Control Uplift Planner'!$B$5:$B$11,MATCH(INDEX($L$4:$R$4,1,MATCH(MIN(L72:R72),L72:R72,0)),'Control Uplift Planner'!$A$5:$A$11,0)))</f>
        <v/>
      </c>
      <c r="AF72" s="13" t="str">
        <f aca="false">IF($A72="","",IF(MIN(IF(AND(E72&gt;=4,H72&gt;=4),3,9),IF(AND(OR(C72="Governed Operations Zone",C72="Autonomous Operations Zone"),E72&gt;=3),IF(MIN(L72:N72)=0,2,IF(MIN(L72:N72)=1,3,9)),9),IF(AND(OR(C72="Governed Operations Zone",C72="Autonomous Operations Zone"),S72&lt;4),3,9))=9,"None",IF(MIN(IF(AND(E72&gt;=4,H72&gt;=4),3,9),IF(AND(OR(C72="Governed Operations Zone",C72="Autonomous Operations Zone"),E72&gt;=3),IF(MIN(L72:N72)=0,2,IF(MIN(L72:N72)=1,3,9)),9),IF(AND(OR(C72="Governed Operations Zone",C72="Autonomous Operations Zone"),S72&lt;4),3,9))=1,"Critical Orbit",IF(MIN(IF(AND(E72&gt;=4,H72&gt;=4),3,9),IF(AND(OR(C72="Governed Operations Zone",C72="Autonomous Operations Zone"),E72&gt;=3),IF(MIN(L72:N72)=0,2,IF(MIN(L72:N72)=1,3,9)),9),IF(AND(OR(C72="Governed Operations Zone",C72="Autonomous Operations Zone"),S72&lt;4),3,9))=2,"Unstable Orbit","Edge Orbit"))))</f>
        <v/>
      </c>
      <c r="AG72" s="14" t="str">
        <f aca="false">IF($A72="","",IF(IF(AND(E72&gt;=4,H72&gt;=4),"R1 concentrated force; ","")&amp;IF(AND(OR(C72="Governed Operations Zone",C72="Autonomous Operations Zone"),E72&gt;=3,MIN(L72:N72)&lt;=1),"R2 mandatory control "&amp;INDEX($L$4:$N$4,1,MATCH(MIN(L72:N72),L72:N72,0))&amp;"="&amp;MIN(L72:N72)&amp;"; ","")&amp;IF(AND(OR(C72="Governed Operations Zone",C72="Autonomous Operations Zone"),S72&lt;4),"R3 evidence tier "&amp;S72&amp;"&lt;4; ","")="","-",IF(AND(E72&gt;=4,H72&gt;=4),"R1 concentrated force; ","")&amp;IF(AND(OR(C72="Governed Operations Zone",C72="Autonomous Operations Zone"),E72&gt;=3,MIN(L72:N72)&lt;=1),"R2 mandatory control "&amp;INDEX($L$4:$N$4,1,MATCH(MIN(L72:N72),L72:N72,0))&amp;"="&amp;MIN(L72:N72)&amp;"; ","")&amp;IF(AND(OR(C72="Governed Operations Zone",C72="Autonomous Operations Zone"),S72&lt;4),"R3 evidence tier "&amp;S72&amp;"&lt;4; ","")))</f>
        <v/>
      </c>
      <c r="AH72" s="14" t="str">
        <f aca="false">IF($A72="","",IF(MIN(IF(X72="Critical Orbit",1,IF(X72="Unstable Orbit",2,IF(X72="Edge Orbit",3,IF(X72="Controlled Orbit",4,5)))),IF(AF72="None",9,IF(AF72="Critical Orbit",1,IF(AF72="Unstable Orbit",2,IF(AF72="Edge Orbit",3,IF(AF72="Controlled Orbit",4,5))))))=1,"Critical Orbit",IF(MIN(IF(X72="Critical Orbit",1,IF(X72="Unstable Orbit",2,IF(X72="Edge Orbit",3,IF(X72="Controlled Orbit",4,5)))),IF(AF72="None",9,IF(AF72="Critical Orbit",1,IF(AF72="Unstable Orbit",2,IF(AF72="Edge Orbit",3,IF(AF72="Controlled Orbit",4,5))))))=2,"Unstable Orbit",IF(MIN(IF(X72="Critical Orbit",1,IF(X72="Unstable Orbit",2,IF(X72="Edge Orbit",3,IF(X72="Controlled Orbit",4,5)))),IF(AF72="None",9,IF(AF72="Critical Orbit",1,IF(AF72="Unstable Orbit",2,IF(AF72="Edge Orbit",3,IF(AF72="Controlled Orbit",4,5))))))=3,"Edge Orbit",IF(MIN(IF(X72="Critical Orbit",1,IF(X72="Unstable Orbit",2,IF(X72="Edge Orbit",3,IF(X72="Controlled Orbit",4,5)))),IF(AF72="None",9,IF(AF72="Critical Orbit",1,IF(AF72="Unstable Orbit",2,IF(AF72="Edge Orbit",3,IF(AF72="Controlled Orbit",4,5))))))=4,"Controlled Orbit","Stable Orbit")))))</f>
        <v/>
      </c>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12" t="str">
        <f aca="false">IF($A73="","",IF(AND(MAX(L73:R73)&gt;3,S73&lt;3),"Warning: EGI &gt;3 needs Tier 3+ evidence",IF(AND(C73="Autonomous Operations Zone",S73&lt;4),"Warning: Autonomous zone needs Tier 4 evidence","OK")))</f>
        <v/>
      </c>
      <c r="U73" s="10" t="str">
        <f aca="false">IF($A73="","",IF($D73="Basic",SUM(E73:K73)/35*100,SUMPRODUCT(E73:K73,INDEX('Weighted Scoring'!$B$5:$H$13,MATCH($B73,'Weighted Scoring'!$A$5:$A$13,0),0))/SUMPRODUCT(5,INDEX('Weighted Scoring'!$B$5:$H$13,MATCH($B73,'Weighted Scoring'!$A$5:$A$13,0),0))*100))</f>
        <v/>
      </c>
      <c r="V73" s="10" t="str">
        <f aca="false">IF($A73="","",IF($D73="Basic",SUM(L73:R73)/35*100,SUMPRODUCT(L73:R73,INDEX('Weighted Scoring'!$I$5:$O$13,MATCH($B73,'Weighted Scoring'!$A$5:$A$13,0),0))/SUMPRODUCT(5,INDEX('Weighted Scoring'!$I$5:$O$13,MATCH($B73,'Weighted Scoring'!$A$5:$A$13,0),0))*100))</f>
        <v/>
      </c>
      <c r="W73" s="10" t="str">
        <f aca="false">IF($A73="","",V73-U73)</f>
        <v/>
      </c>
      <c r="X73" s="12" t="str">
        <f aca="false">IF($A73="","",IF(W73&gt;=40,"Stable Orbit",IF(W73&gt;=15,"Controlled Orbit",IF(W73&gt;=-14,"Edge Orbit",IF(W73&gt;=-39,"Unstable Orbit","Critical Orbit")))))</f>
        <v/>
      </c>
      <c r="Y73" s="12" t="str">
        <f aca="false">IF($A73="","",INDEX('Deployment Gates'!$C$5:$C$9,MATCH(AH73,'Deployment Gates'!$A$5:$A$9,0)))</f>
        <v/>
      </c>
      <c r="Z73" s="3"/>
      <c r="AA73" s="12" t="str">
        <f aca="false">IF($A73="","",IF(OR(AH73="Edge Orbit",AH73="Unstable Orbit",AH73="Critical Orbit",H73&gt;=4,G73&gt;=4,E73&gt;=4,J73&gt;=4),"Yes","No"))</f>
        <v/>
      </c>
      <c r="AB73" s="12" t="str">
        <f aca="false">IF($A73="","",IF(W73&lt;0,"Yes","No"))</f>
        <v/>
      </c>
      <c r="AC73" s="12" t="str">
        <f aca="false">IF($A73="","",INDEX($L$4:$R$4,1,MATCH(MIN(L73:R73),L73:R73,0))&amp;IF(COUNTIF(L73:R73,MIN(L73:R73))&gt;1," (+"&amp;(COUNTIF(L73:R73,MIN(L73:R73))-1)&amp;" tied)",""))</f>
        <v/>
      </c>
      <c r="AD73" s="12" t="str">
        <f aca="false">IF($A73="","",INDEX($E$4:$K$4,1,MATCH(MAX(E73:K73),E73:K73,0))&amp;IF(COUNTIF(E73:K73,MAX(E73:K73))&gt;1," (+"&amp;(COUNTIF(E73:K73,MAX(E73:K73))-1)&amp;" tied)",""))</f>
        <v/>
      </c>
      <c r="AE73" s="12" t="str">
        <f aca="false">IF($A73="","",INDEX('Control Uplift Planner'!$B$5:$B$11,MATCH(INDEX($L$4:$R$4,1,MATCH(MIN(L73:R73),L73:R73,0)),'Control Uplift Planner'!$A$5:$A$11,0)))</f>
        <v/>
      </c>
      <c r="AF73" s="13" t="str">
        <f aca="false">IF($A73="","",IF(MIN(IF(AND(E73&gt;=4,H73&gt;=4),3,9),IF(AND(OR(C73="Governed Operations Zone",C73="Autonomous Operations Zone"),E73&gt;=3),IF(MIN(L73:N73)=0,2,IF(MIN(L73:N73)=1,3,9)),9),IF(AND(OR(C73="Governed Operations Zone",C73="Autonomous Operations Zone"),S73&lt;4),3,9))=9,"None",IF(MIN(IF(AND(E73&gt;=4,H73&gt;=4),3,9),IF(AND(OR(C73="Governed Operations Zone",C73="Autonomous Operations Zone"),E73&gt;=3),IF(MIN(L73:N73)=0,2,IF(MIN(L73:N73)=1,3,9)),9),IF(AND(OR(C73="Governed Operations Zone",C73="Autonomous Operations Zone"),S73&lt;4),3,9))=1,"Critical Orbit",IF(MIN(IF(AND(E73&gt;=4,H73&gt;=4),3,9),IF(AND(OR(C73="Governed Operations Zone",C73="Autonomous Operations Zone"),E73&gt;=3),IF(MIN(L73:N73)=0,2,IF(MIN(L73:N73)=1,3,9)),9),IF(AND(OR(C73="Governed Operations Zone",C73="Autonomous Operations Zone"),S73&lt;4),3,9))=2,"Unstable Orbit","Edge Orbit"))))</f>
        <v/>
      </c>
      <c r="AG73" s="14" t="str">
        <f aca="false">IF($A73="","",IF(IF(AND(E73&gt;=4,H73&gt;=4),"R1 concentrated force; ","")&amp;IF(AND(OR(C73="Governed Operations Zone",C73="Autonomous Operations Zone"),E73&gt;=3,MIN(L73:N73)&lt;=1),"R2 mandatory control "&amp;INDEX($L$4:$N$4,1,MATCH(MIN(L73:N73),L73:N73,0))&amp;"="&amp;MIN(L73:N73)&amp;"; ","")&amp;IF(AND(OR(C73="Governed Operations Zone",C73="Autonomous Operations Zone"),S73&lt;4),"R3 evidence tier "&amp;S73&amp;"&lt;4; ","")="","-",IF(AND(E73&gt;=4,H73&gt;=4),"R1 concentrated force; ","")&amp;IF(AND(OR(C73="Governed Operations Zone",C73="Autonomous Operations Zone"),E73&gt;=3,MIN(L73:N73)&lt;=1),"R2 mandatory control "&amp;INDEX($L$4:$N$4,1,MATCH(MIN(L73:N73),L73:N73,0))&amp;"="&amp;MIN(L73:N73)&amp;"; ","")&amp;IF(AND(OR(C73="Governed Operations Zone",C73="Autonomous Operations Zone"),S73&lt;4),"R3 evidence tier "&amp;S73&amp;"&lt;4; ","")))</f>
        <v/>
      </c>
      <c r="AH73" s="14" t="str">
        <f aca="false">IF($A73="","",IF(MIN(IF(X73="Critical Orbit",1,IF(X73="Unstable Orbit",2,IF(X73="Edge Orbit",3,IF(X73="Controlled Orbit",4,5)))),IF(AF73="None",9,IF(AF73="Critical Orbit",1,IF(AF73="Unstable Orbit",2,IF(AF73="Edge Orbit",3,IF(AF73="Controlled Orbit",4,5))))))=1,"Critical Orbit",IF(MIN(IF(X73="Critical Orbit",1,IF(X73="Unstable Orbit",2,IF(X73="Edge Orbit",3,IF(X73="Controlled Orbit",4,5)))),IF(AF73="None",9,IF(AF73="Critical Orbit",1,IF(AF73="Unstable Orbit",2,IF(AF73="Edge Orbit",3,IF(AF73="Controlled Orbit",4,5))))))=2,"Unstable Orbit",IF(MIN(IF(X73="Critical Orbit",1,IF(X73="Unstable Orbit",2,IF(X73="Edge Orbit",3,IF(X73="Controlled Orbit",4,5)))),IF(AF73="None",9,IF(AF73="Critical Orbit",1,IF(AF73="Unstable Orbit",2,IF(AF73="Edge Orbit",3,IF(AF73="Controlled Orbit",4,5))))))=3,"Edge Orbit",IF(MIN(IF(X73="Critical Orbit",1,IF(X73="Unstable Orbit",2,IF(X73="Edge Orbit",3,IF(X73="Controlled Orbit",4,5)))),IF(AF73="None",9,IF(AF73="Critical Orbit",1,IF(AF73="Unstable Orbit",2,IF(AF73="Edge Orbit",3,IF(AF73="Controlled Orbit",4,5))))))=4,"Controlled Orbit","Stable Orbit")))))</f>
        <v/>
      </c>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12" t="str">
        <f aca="false">IF($A74="","",IF(AND(MAX(L74:R74)&gt;3,S74&lt;3),"Warning: EGI &gt;3 needs Tier 3+ evidence",IF(AND(C74="Autonomous Operations Zone",S74&lt;4),"Warning: Autonomous zone needs Tier 4 evidence","OK")))</f>
        <v/>
      </c>
      <c r="U74" s="10" t="str">
        <f aca="false">IF($A74="","",IF($D74="Basic",SUM(E74:K74)/35*100,SUMPRODUCT(E74:K74,INDEX('Weighted Scoring'!$B$5:$H$13,MATCH($B74,'Weighted Scoring'!$A$5:$A$13,0),0))/SUMPRODUCT(5,INDEX('Weighted Scoring'!$B$5:$H$13,MATCH($B74,'Weighted Scoring'!$A$5:$A$13,0),0))*100))</f>
        <v/>
      </c>
      <c r="V74" s="10" t="str">
        <f aca="false">IF($A74="","",IF($D74="Basic",SUM(L74:R74)/35*100,SUMPRODUCT(L74:R74,INDEX('Weighted Scoring'!$I$5:$O$13,MATCH($B74,'Weighted Scoring'!$A$5:$A$13,0),0))/SUMPRODUCT(5,INDEX('Weighted Scoring'!$I$5:$O$13,MATCH($B74,'Weighted Scoring'!$A$5:$A$13,0),0))*100))</f>
        <v/>
      </c>
      <c r="W74" s="10" t="str">
        <f aca="false">IF($A74="","",V74-U74)</f>
        <v/>
      </c>
      <c r="X74" s="12" t="str">
        <f aca="false">IF($A74="","",IF(W74&gt;=40,"Stable Orbit",IF(W74&gt;=15,"Controlled Orbit",IF(W74&gt;=-14,"Edge Orbit",IF(W74&gt;=-39,"Unstable Orbit","Critical Orbit")))))</f>
        <v/>
      </c>
      <c r="Y74" s="12" t="str">
        <f aca="false">IF($A74="","",INDEX('Deployment Gates'!$C$5:$C$9,MATCH(AH74,'Deployment Gates'!$A$5:$A$9,0)))</f>
        <v/>
      </c>
      <c r="Z74" s="3"/>
      <c r="AA74" s="12" t="str">
        <f aca="false">IF($A74="","",IF(OR(AH74="Edge Orbit",AH74="Unstable Orbit",AH74="Critical Orbit",H74&gt;=4,G74&gt;=4,E74&gt;=4,J74&gt;=4),"Yes","No"))</f>
        <v/>
      </c>
      <c r="AB74" s="12" t="str">
        <f aca="false">IF($A74="","",IF(W74&lt;0,"Yes","No"))</f>
        <v/>
      </c>
      <c r="AC74" s="12" t="str">
        <f aca="false">IF($A74="","",INDEX($L$4:$R$4,1,MATCH(MIN(L74:R74),L74:R74,0))&amp;IF(COUNTIF(L74:R74,MIN(L74:R74))&gt;1," (+"&amp;(COUNTIF(L74:R74,MIN(L74:R74))-1)&amp;" tied)",""))</f>
        <v/>
      </c>
      <c r="AD74" s="12" t="str">
        <f aca="false">IF($A74="","",INDEX($E$4:$K$4,1,MATCH(MAX(E74:K74),E74:K74,0))&amp;IF(COUNTIF(E74:K74,MAX(E74:K74))&gt;1," (+"&amp;(COUNTIF(E74:K74,MAX(E74:K74))-1)&amp;" tied)",""))</f>
        <v/>
      </c>
      <c r="AE74" s="12" t="str">
        <f aca="false">IF($A74="","",INDEX('Control Uplift Planner'!$B$5:$B$11,MATCH(INDEX($L$4:$R$4,1,MATCH(MIN(L74:R74),L74:R74,0)),'Control Uplift Planner'!$A$5:$A$11,0)))</f>
        <v/>
      </c>
      <c r="AF74" s="13" t="str">
        <f aca="false">IF($A74="","",IF(MIN(IF(AND(E74&gt;=4,H74&gt;=4),3,9),IF(AND(OR(C74="Governed Operations Zone",C74="Autonomous Operations Zone"),E74&gt;=3),IF(MIN(L74:N74)=0,2,IF(MIN(L74:N74)=1,3,9)),9),IF(AND(OR(C74="Governed Operations Zone",C74="Autonomous Operations Zone"),S74&lt;4),3,9))=9,"None",IF(MIN(IF(AND(E74&gt;=4,H74&gt;=4),3,9),IF(AND(OR(C74="Governed Operations Zone",C74="Autonomous Operations Zone"),E74&gt;=3),IF(MIN(L74:N74)=0,2,IF(MIN(L74:N74)=1,3,9)),9),IF(AND(OR(C74="Governed Operations Zone",C74="Autonomous Operations Zone"),S74&lt;4),3,9))=1,"Critical Orbit",IF(MIN(IF(AND(E74&gt;=4,H74&gt;=4),3,9),IF(AND(OR(C74="Governed Operations Zone",C74="Autonomous Operations Zone"),E74&gt;=3),IF(MIN(L74:N74)=0,2,IF(MIN(L74:N74)=1,3,9)),9),IF(AND(OR(C74="Governed Operations Zone",C74="Autonomous Operations Zone"),S74&lt;4),3,9))=2,"Unstable Orbit","Edge Orbit"))))</f>
        <v/>
      </c>
      <c r="AG74" s="14" t="str">
        <f aca="false">IF($A74="","",IF(IF(AND(E74&gt;=4,H74&gt;=4),"R1 concentrated force; ","")&amp;IF(AND(OR(C74="Governed Operations Zone",C74="Autonomous Operations Zone"),E74&gt;=3,MIN(L74:N74)&lt;=1),"R2 mandatory control "&amp;INDEX($L$4:$N$4,1,MATCH(MIN(L74:N74),L74:N74,0))&amp;"="&amp;MIN(L74:N74)&amp;"; ","")&amp;IF(AND(OR(C74="Governed Operations Zone",C74="Autonomous Operations Zone"),S74&lt;4),"R3 evidence tier "&amp;S74&amp;"&lt;4; ","")="","-",IF(AND(E74&gt;=4,H74&gt;=4),"R1 concentrated force; ","")&amp;IF(AND(OR(C74="Governed Operations Zone",C74="Autonomous Operations Zone"),E74&gt;=3,MIN(L74:N74)&lt;=1),"R2 mandatory control "&amp;INDEX($L$4:$N$4,1,MATCH(MIN(L74:N74),L74:N74,0))&amp;"="&amp;MIN(L74:N74)&amp;"; ","")&amp;IF(AND(OR(C74="Governed Operations Zone",C74="Autonomous Operations Zone"),S74&lt;4),"R3 evidence tier "&amp;S74&amp;"&lt;4; ","")))</f>
        <v/>
      </c>
      <c r="AH74" s="14" t="str">
        <f aca="false">IF($A74="","",IF(MIN(IF(X74="Critical Orbit",1,IF(X74="Unstable Orbit",2,IF(X74="Edge Orbit",3,IF(X74="Controlled Orbit",4,5)))),IF(AF74="None",9,IF(AF74="Critical Orbit",1,IF(AF74="Unstable Orbit",2,IF(AF74="Edge Orbit",3,IF(AF74="Controlled Orbit",4,5))))))=1,"Critical Orbit",IF(MIN(IF(X74="Critical Orbit",1,IF(X74="Unstable Orbit",2,IF(X74="Edge Orbit",3,IF(X74="Controlled Orbit",4,5)))),IF(AF74="None",9,IF(AF74="Critical Orbit",1,IF(AF74="Unstable Orbit",2,IF(AF74="Edge Orbit",3,IF(AF74="Controlled Orbit",4,5))))))=2,"Unstable Orbit",IF(MIN(IF(X74="Critical Orbit",1,IF(X74="Unstable Orbit",2,IF(X74="Edge Orbit",3,IF(X74="Controlled Orbit",4,5)))),IF(AF74="None",9,IF(AF74="Critical Orbit",1,IF(AF74="Unstable Orbit",2,IF(AF74="Edge Orbit",3,IF(AF74="Controlled Orbit",4,5))))))=3,"Edge Orbit",IF(MIN(IF(X74="Critical Orbit",1,IF(X74="Unstable Orbit",2,IF(X74="Edge Orbit",3,IF(X74="Controlled Orbit",4,5)))),IF(AF74="None",9,IF(AF74="Critical Orbit",1,IF(AF74="Unstable Orbit",2,IF(AF74="Edge Orbit",3,IF(AF74="Controlled Orbit",4,5))))))=4,"Controlled Orbit","Stable Orbit")))))</f>
        <v/>
      </c>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12" t="str">
        <f aca="false">IF($A75="","",IF(AND(MAX(L75:R75)&gt;3,S75&lt;3),"Warning: EGI &gt;3 needs Tier 3+ evidence",IF(AND(C75="Autonomous Operations Zone",S75&lt;4),"Warning: Autonomous zone needs Tier 4 evidence","OK")))</f>
        <v/>
      </c>
      <c r="U75" s="10" t="str">
        <f aca="false">IF($A75="","",IF($D75="Basic",SUM(E75:K75)/35*100,SUMPRODUCT(E75:K75,INDEX('Weighted Scoring'!$B$5:$H$13,MATCH($B75,'Weighted Scoring'!$A$5:$A$13,0),0))/SUMPRODUCT(5,INDEX('Weighted Scoring'!$B$5:$H$13,MATCH($B75,'Weighted Scoring'!$A$5:$A$13,0),0))*100))</f>
        <v/>
      </c>
      <c r="V75" s="10" t="str">
        <f aca="false">IF($A75="","",IF($D75="Basic",SUM(L75:R75)/35*100,SUMPRODUCT(L75:R75,INDEX('Weighted Scoring'!$I$5:$O$13,MATCH($B75,'Weighted Scoring'!$A$5:$A$13,0),0))/SUMPRODUCT(5,INDEX('Weighted Scoring'!$I$5:$O$13,MATCH($B75,'Weighted Scoring'!$A$5:$A$13,0),0))*100))</f>
        <v/>
      </c>
      <c r="W75" s="10" t="str">
        <f aca="false">IF($A75="","",V75-U75)</f>
        <v/>
      </c>
      <c r="X75" s="12" t="str">
        <f aca="false">IF($A75="","",IF(W75&gt;=40,"Stable Orbit",IF(W75&gt;=15,"Controlled Orbit",IF(W75&gt;=-14,"Edge Orbit",IF(W75&gt;=-39,"Unstable Orbit","Critical Orbit")))))</f>
        <v/>
      </c>
      <c r="Y75" s="12" t="str">
        <f aca="false">IF($A75="","",INDEX('Deployment Gates'!$C$5:$C$9,MATCH(AH75,'Deployment Gates'!$A$5:$A$9,0)))</f>
        <v/>
      </c>
      <c r="Z75" s="3"/>
      <c r="AA75" s="12" t="str">
        <f aca="false">IF($A75="","",IF(OR(AH75="Edge Orbit",AH75="Unstable Orbit",AH75="Critical Orbit",H75&gt;=4,G75&gt;=4,E75&gt;=4,J75&gt;=4),"Yes","No"))</f>
        <v/>
      </c>
      <c r="AB75" s="12" t="str">
        <f aca="false">IF($A75="","",IF(W75&lt;0,"Yes","No"))</f>
        <v/>
      </c>
      <c r="AC75" s="12" t="str">
        <f aca="false">IF($A75="","",INDEX($L$4:$R$4,1,MATCH(MIN(L75:R75),L75:R75,0))&amp;IF(COUNTIF(L75:R75,MIN(L75:R75))&gt;1," (+"&amp;(COUNTIF(L75:R75,MIN(L75:R75))-1)&amp;" tied)",""))</f>
        <v/>
      </c>
      <c r="AD75" s="12" t="str">
        <f aca="false">IF($A75="","",INDEX($E$4:$K$4,1,MATCH(MAX(E75:K75),E75:K75,0))&amp;IF(COUNTIF(E75:K75,MAX(E75:K75))&gt;1," (+"&amp;(COUNTIF(E75:K75,MAX(E75:K75))-1)&amp;" tied)",""))</f>
        <v/>
      </c>
      <c r="AE75" s="12" t="str">
        <f aca="false">IF($A75="","",INDEX('Control Uplift Planner'!$B$5:$B$11,MATCH(INDEX($L$4:$R$4,1,MATCH(MIN(L75:R75),L75:R75,0)),'Control Uplift Planner'!$A$5:$A$11,0)))</f>
        <v/>
      </c>
      <c r="AF75" s="13" t="str">
        <f aca="false">IF($A75="","",IF(MIN(IF(AND(E75&gt;=4,H75&gt;=4),3,9),IF(AND(OR(C75="Governed Operations Zone",C75="Autonomous Operations Zone"),E75&gt;=3),IF(MIN(L75:N75)=0,2,IF(MIN(L75:N75)=1,3,9)),9),IF(AND(OR(C75="Governed Operations Zone",C75="Autonomous Operations Zone"),S75&lt;4),3,9))=9,"None",IF(MIN(IF(AND(E75&gt;=4,H75&gt;=4),3,9),IF(AND(OR(C75="Governed Operations Zone",C75="Autonomous Operations Zone"),E75&gt;=3),IF(MIN(L75:N75)=0,2,IF(MIN(L75:N75)=1,3,9)),9),IF(AND(OR(C75="Governed Operations Zone",C75="Autonomous Operations Zone"),S75&lt;4),3,9))=1,"Critical Orbit",IF(MIN(IF(AND(E75&gt;=4,H75&gt;=4),3,9),IF(AND(OR(C75="Governed Operations Zone",C75="Autonomous Operations Zone"),E75&gt;=3),IF(MIN(L75:N75)=0,2,IF(MIN(L75:N75)=1,3,9)),9),IF(AND(OR(C75="Governed Operations Zone",C75="Autonomous Operations Zone"),S75&lt;4),3,9))=2,"Unstable Orbit","Edge Orbit"))))</f>
        <v/>
      </c>
      <c r="AG75" s="14" t="str">
        <f aca="false">IF($A75="","",IF(IF(AND(E75&gt;=4,H75&gt;=4),"R1 concentrated force; ","")&amp;IF(AND(OR(C75="Governed Operations Zone",C75="Autonomous Operations Zone"),E75&gt;=3,MIN(L75:N75)&lt;=1),"R2 mandatory control "&amp;INDEX($L$4:$N$4,1,MATCH(MIN(L75:N75),L75:N75,0))&amp;"="&amp;MIN(L75:N75)&amp;"; ","")&amp;IF(AND(OR(C75="Governed Operations Zone",C75="Autonomous Operations Zone"),S75&lt;4),"R3 evidence tier "&amp;S75&amp;"&lt;4; ","")="","-",IF(AND(E75&gt;=4,H75&gt;=4),"R1 concentrated force; ","")&amp;IF(AND(OR(C75="Governed Operations Zone",C75="Autonomous Operations Zone"),E75&gt;=3,MIN(L75:N75)&lt;=1),"R2 mandatory control "&amp;INDEX($L$4:$N$4,1,MATCH(MIN(L75:N75),L75:N75,0))&amp;"="&amp;MIN(L75:N75)&amp;"; ","")&amp;IF(AND(OR(C75="Governed Operations Zone",C75="Autonomous Operations Zone"),S75&lt;4),"R3 evidence tier "&amp;S75&amp;"&lt;4; ","")))</f>
        <v/>
      </c>
      <c r="AH75" s="14" t="str">
        <f aca="false">IF($A75="","",IF(MIN(IF(X75="Critical Orbit",1,IF(X75="Unstable Orbit",2,IF(X75="Edge Orbit",3,IF(X75="Controlled Orbit",4,5)))),IF(AF75="None",9,IF(AF75="Critical Orbit",1,IF(AF75="Unstable Orbit",2,IF(AF75="Edge Orbit",3,IF(AF75="Controlled Orbit",4,5))))))=1,"Critical Orbit",IF(MIN(IF(X75="Critical Orbit",1,IF(X75="Unstable Orbit",2,IF(X75="Edge Orbit",3,IF(X75="Controlled Orbit",4,5)))),IF(AF75="None",9,IF(AF75="Critical Orbit",1,IF(AF75="Unstable Orbit",2,IF(AF75="Edge Orbit",3,IF(AF75="Controlled Orbit",4,5))))))=2,"Unstable Orbit",IF(MIN(IF(X75="Critical Orbit",1,IF(X75="Unstable Orbit",2,IF(X75="Edge Orbit",3,IF(X75="Controlled Orbit",4,5)))),IF(AF75="None",9,IF(AF75="Critical Orbit",1,IF(AF75="Unstable Orbit",2,IF(AF75="Edge Orbit",3,IF(AF75="Controlled Orbit",4,5))))))=3,"Edge Orbit",IF(MIN(IF(X75="Critical Orbit",1,IF(X75="Unstable Orbit",2,IF(X75="Edge Orbit",3,IF(X75="Controlled Orbit",4,5)))),IF(AF75="None",9,IF(AF75="Critical Orbit",1,IF(AF75="Unstable Orbit",2,IF(AF75="Edge Orbit",3,IF(AF75="Controlled Orbit",4,5))))))=4,"Controlled Orbit","Stable Orbit")))))</f>
        <v/>
      </c>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12" t="str">
        <f aca="false">IF($A76="","",IF(AND(MAX(L76:R76)&gt;3,S76&lt;3),"Warning: EGI &gt;3 needs Tier 3+ evidence",IF(AND(C76="Autonomous Operations Zone",S76&lt;4),"Warning: Autonomous zone needs Tier 4 evidence","OK")))</f>
        <v/>
      </c>
      <c r="U76" s="10" t="str">
        <f aca="false">IF($A76="","",IF($D76="Basic",SUM(E76:K76)/35*100,SUMPRODUCT(E76:K76,INDEX('Weighted Scoring'!$B$5:$H$13,MATCH($B76,'Weighted Scoring'!$A$5:$A$13,0),0))/SUMPRODUCT(5,INDEX('Weighted Scoring'!$B$5:$H$13,MATCH($B76,'Weighted Scoring'!$A$5:$A$13,0),0))*100))</f>
        <v/>
      </c>
      <c r="V76" s="10" t="str">
        <f aca="false">IF($A76="","",IF($D76="Basic",SUM(L76:R76)/35*100,SUMPRODUCT(L76:R76,INDEX('Weighted Scoring'!$I$5:$O$13,MATCH($B76,'Weighted Scoring'!$A$5:$A$13,0),0))/SUMPRODUCT(5,INDEX('Weighted Scoring'!$I$5:$O$13,MATCH($B76,'Weighted Scoring'!$A$5:$A$13,0),0))*100))</f>
        <v/>
      </c>
      <c r="W76" s="10" t="str">
        <f aca="false">IF($A76="","",V76-U76)</f>
        <v/>
      </c>
      <c r="X76" s="12" t="str">
        <f aca="false">IF($A76="","",IF(W76&gt;=40,"Stable Orbit",IF(W76&gt;=15,"Controlled Orbit",IF(W76&gt;=-14,"Edge Orbit",IF(W76&gt;=-39,"Unstable Orbit","Critical Orbit")))))</f>
        <v/>
      </c>
      <c r="Y76" s="12" t="str">
        <f aca="false">IF($A76="","",INDEX('Deployment Gates'!$C$5:$C$9,MATCH(AH76,'Deployment Gates'!$A$5:$A$9,0)))</f>
        <v/>
      </c>
      <c r="Z76" s="3"/>
      <c r="AA76" s="12" t="str">
        <f aca="false">IF($A76="","",IF(OR(AH76="Edge Orbit",AH76="Unstable Orbit",AH76="Critical Orbit",H76&gt;=4,G76&gt;=4,E76&gt;=4,J76&gt;=4),"Yes","No"))</f>
        <v/>
      </c>
      <c r="AB76" s="12" t="str">
        <f aca="false">IF($A76="","",IF(W76&lt;0,"Yes","No"))</f>
        <v/>
      </c>
      <c r="AC76" s="12" t="str">
        <f aca="false">IF($A76="","",INDEX($L$4:$R$4,1,MATCH(MIN(L76:R76),L76:R76,0))&amp;IF(COUNTIF(L76:R76,MIN(L76:R76))&gt;1," (+"&amp;(COUNTIF(L76:R76,MIN(L76:R76))-1)&amp;" tied)",""))</f>
        <v/>
      </c>
      <c r="AD76" s="12" t="str">
        <f aca="false">IF($A76="","",INDEX($E$4:$K$4,1,MATCH(MAX(E76:K76),E76:K76,0))&amp;IF(COUNTIF(E76:K76,MAX(E76:K76))&gt;1," (+"&amp;(COUNTIF(E76:K76,MAX(E76:K76))-1)&amp;" tied)",""))</f>
        <v/>
      </c>
      <c r="AE76" s="12" t="str">
        <f aca="false">IF($A76="","",INDEX('Control Uplift Planner'!$B$5:$B$11,MATCH(INDEX($L$4:$R$4,1,MATCH(MIN(L76:R76),L76:R76,0)),'Control Uplift Planner'!$A$5:$A$11,0)))</f>
        <v/>
      </c>
      <c r="AF76" s="13" t="str">
        <f aca="false">IF($A76="","",IF(MIN(IF(AND(E76&gt;=4,H76&gt;=4),3,9),IF(AND(OR(C76="Governed Operations Zone",C76="Autonomous Operations Zone"),E76&gt;=3),IF(MIN(L76:N76)=0,2,IF(MIN(L76:N76)=1,3,9)),9),IF(AND(OR(C76="Governed Operations Zone",C76="Autonomous Operations Zone"),S76&lt;4),3,9))=9,"None",IF(MIN(IF(AND(E76&gt;=4,H76&gt;=4),3,9),IF(AND(OR(C76="Governed Operations Zone",C76="Autonomous Operations Zone"),E76&gt;=3),IF(MIN(L76:N76)=0,2,IF(MIN(L76:N76)=1,3,9)),9),IF(AND(OR(C76="Governed Operations Zone",C76="Autonomous Operations Zone"),S76&lt;4),3,9))=1,"Critical Orbit",IF(MIN(IF(AND(E76&gt;=4,H76&gt;=4),3,9),IF(AND(OR(C76="Governed Operations Zone",C76="Autonomous Operations Zone"),E76&gt;=3),IF(MIN(L76:N76)=0,2,IF(MIN(L76:N76)=1,3,9)),9),IF(AND(OR(C76="Governed Operations Zone",C76="Autonomous Operations Zone"),S76&lt;4),3,9))=2,"Unstable Orbit","Edge Orbit"))))</f>
        <v/>
      </c>
      <c r="AG76" s="14" t="str">
        <f aca="false">IF($A76="","",IF(IF(AND(E76&gt;=4,H76&gt;=4),"R1 concentrated force; ","")&amp;IF(AND(OR(C76="Governed Operations Zone",C76="Autonomous Operations Zone"),E76&gt;=3,MIN(L76:N76)&lt;=1),"R2 mandatory control "&amp;INDEX($L$4:$N$4,1,MATCH(MIN(L76:N76),L76:N76,0))&amp;"="&amp;MIN(L76:N76)&amp;"; ","")&amp;IF(AND(OR(C76="Governed Operations Zone",C76="Autonomous Operations Zone"),S76&lt;4),"R3 evidence tier "&amp;S76&amp;"&lt;4; ","")="","-",IF(AND(E76&gt;=4,H76&gt;=4),"R1 concentrated force; ","")&amp;IF(AND(OR(C76="Governed Operations Zone",C76="Autonomous Operations Zone"),E76&gt;=3,MIN(L76:N76)&lt;=1),"R2 mandatory control "&amp;INDEX($L$4:$N$4,1,MATCH(MIN(L76:N76),L76:N76,0))&amp;"="&amp;MIN(L76:N76)&amp;"; ","")&amp;IF(AND(OR(C76="Governed Operations Zone",C76="Autonomous Operations Zone"),S76&lt;4),"R3 evidence tier "&amp;S76&amp;"&lt;4; ","")))</f>
        <v/>
      </c>
      <c r="AH76" s="14" t="str">
        <f aca="false">IF($A76="","",IF(MIN(IF(X76="Critical Orbit",1,IF(X76="Unstable Orbit",2,IF(X76="Edge Orbit",3,IF(X76="Controlled Orbit",4,5)))),IF(AF76="None",9,IF(AF76="Critical Orbit",1,IF(AF76="Unstable Orbit",2,IF(AF76="Edge Orbit",3,IF(AF76="Controlled Orbit",4,5))))))=1,"Critical Orbit",IF(MIN(IF(X76="Critical Orbit",1,IF(X76="Unstable Orbit",2,IF(X76="Edge Orbit",3,IF(X76="Controlled Orbit",4,5)))),IF(AF76="None",9,IF(AF76="Critical Orbit",1,IF(AF76="Unstable Orbit",2,IF(AF76="Edge Orbit",3,IF(AF76="Controlled Orbit",4,5))))))=2,"Unstable Orbit",IF(MIN(IF(X76="Critical Orbit",1,IF(X76="Unstable Orbit",2,IF(X76="Edge Orbit",3,IF(X76="Controlled Orbit",4,5)))),IF(AF76="None",9,IF(AF76="Critical Orbit",1,IF(AF76="Unstable Orbit",2,IF(AF76="Edge Orbit",3,IF(AF76="Controlled Orbit",4,5))))))=3,"Edge Orbit",IF(MIN(IF(X76="Critical Orbit",1,IF(X76="Unstable Orbit",2,IF(X76="Edge Orbit",3,IF(X76="Controlled Orbit",4,5)))),IF(AF76="None",9,IF(AF76="Critical Orbit",1,IF(AF76="Unstable Orbit",2,IF(AF76="Edge Orbit",3,IF(AF76="Controlled Orbit",4,5))))))=4,"Controlled Orbit","Stable Orbit")))))</f>
        <v/>
      </c>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12" t="str">
        <f aca="false">IF($A77="","",IF(AND(MAX(L77:R77)&gt;3,S77&lt;3),"Warning: EGI &gt;3 needs Tier 3+ evidence",IF(AND(C77="Autonomous Operations Zone",S77&lt;4),"Warning: Autonomous zone needs Tier 4 evidence","OK")))</f>
        <v/>
      </c>
      <c r="U77" s="10" t="str">
        <f aca="false">IF($A77="","",IF($D77="Basic",SUM(E77:K77)/35*100,SUMPRODUCT(E77:K77,INDEX('Weighted Scoring'!$B$5:$H$13,MATCH($B77,'Weighted Scoring'!$A$5:$A$13,0),0))/SUMPRODUCT(5,INDEX('Weighted Scoring'!$B$5:$H$13,MATCH($B77,'Weighted Scoring'!$A$5:$A$13,0),0))*100))</f>
        <v/>
      </c>
      <c r="V77" s="10" t="str">
        <f aca="false">IF($A77="","",IF($D77="Basic",SUM(L77:R77)/35*100,SUMPRODUCT(L77:R77,INDEX('Weighted Scoring'!$I$5:$O$13,MATCH($B77,'Weighted Scoring'!$A$5:$A$13,0),0))/SUMPRODUCT(5,INDEX('Weighted Scoring'!$I$5:$O$13,MATCH($B77,'Weighted Scoring'!$A$5:$A$13,0),0))*100))</f>
        <v/>
      </c>
      <c r="W77" s="10" t="str">
        <f aca="false">IF($A77="","",V77-U77)</f>
        <v/>
      </c>
      <c r="X77" s="12" t="str">
        <f aca="false">IF($A77="","",IF(W77&gt;=40,"Stable Orbit",IF(W77&gt;=15,"Controlled Orbit",IF(W77&gt;=-14,"Edge Orbit",IF(W77&gt;=-39,"Unstable Orbit","Critical Orbit")))))</f>
        <v/>
      </c>
      <c r="Y77" s="12" t="str">
        <f aca="false">IF($A77="","",INDEX('Deployment Gates'!$C$5:$C$9,MATCH(AH77,'Deployment Gates'!$A$5:$A$9,0)))</f>
        <v/>
      </c>
      <c r="Z77" s="3"/>
      <c r="AA77" s="12" t="str">
        <f aca="false">IF($A77="","",IF(OR(AH77="Edge Orbit",AH77="Unstable Orbit",AH77="Critical Orbit",H77&gt;=4,G77&gt;=4,E77&gt;=4,J77&gt;=4),"Yes","No"))</f>
        <v/>
      </c>
      <c r="AB77" s="12" t="str">
        <f aca="false">IF($A77="","",IF(W77&lt;0,"Yes","No"))</f>
        <v/>
      </c>
      <c r="AC77" s="12" t="str">
        <f aca="false">IF($A77="","",INDEX($L$4:$R$4,1,MATCH(MIN(L77:R77),L77:R77,0))&amp;IF(COUNTIF(L77:R77,MIN(L77:R77))&gt;1," (+"&amp;(COUNTIF(L77:R77,MIN(L77:R77))-1)&amp;" tied)",""))</f>
        <v/>
      </c>
      <c r="AD77" s="12" t="str">
        <f aca="false">IF($A77="","",INDEX($E$4:$K$4,1,MATCH(MAX(E77:K77),E77:K77,0))&amp;IF(COUNTIF(E77:K77,MAX(E77:K77))&gt;1," (+"&amp;(COUNTIF(E77:K77,MAX(E77:K77))-1)&amp;" tied)",""))</f>
        <v/>
      </c>
      <c r="AE77" s="12" t="str">
        <f aca="false">IF($A77="","",INDEX('Control Uplift Planner'!$B$5:$B$11,MATCH(INDEX($L$4:$R$4,1,MATCH(MIN(L77:R77),L77:R77,0)),'Control Uplift Planner'!$A$5:$A$11,0)))</f>
        <v/>
      </c>
      <c r="AF77" s="13" t="str">
        <f aca="false">IF($A77="","",IF(MIN(IF(AND(E77&gt;=4,H77&gt;=4),3,9),IF(AND(OR(C77="Governed Operations Zone",C77="Autonomous Operations Zone"),E77&gt;=3),IF(MIN(L77:N77)=0,2,IF(MIN(L77:N77)=1,3,9)),9),IF(AND(OR(C77="Governed Operations Zone",C77="Autonomous Operations Zone"),S77&lt;4),3,9))=9,"None",IF(MIN(IF(AND(E77&gt;=4,H77&gt;=4),3,9),IF(AND(OR(C77="Governed Operations Zone",C77="Autonomous Operations Zone"),E77&gt;=3),IF(MIN(L77:N77)=0,2,IF(MIN(L77:N77)=1,3,9)),9),IF(AND(OR(C77="Governed Operations Zone",C77="Autonomous Operations Zone"),S77&lt;4),3,9))=1,"Critical Orbit",IF(MIN(IF(AND(E77&gt;=4,H77&gt;=4),3,9),IF(AND(OR(C77="Governed Operations Zone",C77="Autonomous Operations Zone"),E77&gt;=3),IF(MIN(L77:N77)=0,2,IF(MIN(L77:N77)=1,3,9)),9),IF(AND(OR(C77="Governed Operations Zone",C77="Autonomous Operations Zone"),S77&lt;4),3,9))=2,"Unstable Orbit","Edge Orbit"))))</f>
        <v/>
      </c>
      <c r="AG77" s="14" t="str">
        <f aca="false">IF($A77="","",IF(IF(AND(E77&gt;=4,H77&gt;=4),"R1 concentrated force; ","")&amp;IF(AND(OR(C77="Governed Operations Zone",C77="Autonomous Operations Zone"),E77&gt;=3,MIN(L77:N77)&lt;=1),"R2 mandatory control "&amp;INDEX($L$4:$N$4,1,MATCH(MIN(L77:N77),L77:N77,0))&amp;"="&amp;MIN(L77:N77)&amp;"; ","")&amp;IF(AND(OR(C77="Governed Operations Zone",C77="Autonomous Operations Zone"),S77&lt;4),"R3 evidence tier "&amp;S77&amp;"&lt;4; ","")="","-",IF(AND(E77&gt;=4,H77&gt;=4),"R1 concentrated force; ","")&amp;IF(AND(OR(C77="Governed Operations Zone",C77="Autonomous Operations Zone"),E77&gt;=3,MIN(L77:N77)&lt;=1),"R2 mandatory control "&amp;INDEX($L$4:$N$4,1,MATCH(MIN(L77:N77),L77:N77,0))&amp;"="&amp;MIN(L77:N77)&amp;"; ","")&amp;IF(AND(OR(C77="Governed Operations Zone",C77="Autonomous Operations Zone"),S77&lt;4),"R3 evidence tier "&amp;S77&amp;"&lt;4; ","")))</f>
        <v/>
      </c>
      <c r="AH77" s="14" t="str">
        <f aca="false">IF($A77="","",IF(MIN(IF(X77="Critical Orbit",1,IF(X77="Unstable Orbit",2,IF(X77="Edge Orbit",3,IF(X77="Controlled Orbit",4,5)))),IF(AF77="None",9,IF(AF77="Critical Orbit",1,IF(AF77="Unstable Orbit",2,IF(AF77="Edge Orbit",3,IF(AF77="Controlled Orbit",4,5))))))=1,"Critical Orbit",IF(MIN(IF(X77="Critical Orbit",1,IF(X77="Unstable Orbit",2,IF(X77="Edge Orbit",3,IF(X77="Controlled Orbit",4,5)))),IF(AF77="None",9,IF(AF77="Critical Orbit",1,IF(AF77="Unstable Orbit",2,IF(AF77="Edge Orbit",3,IF(AF77="Controlled Orbit",4,5))))))=2,"Unstable Orbit",IF(MIN(IF(X77="Critical Orbit",1,IF(X77="Unstable Orbit",2,IF(X77="Edge Orbit",3,IF(X77="Controlled Orbit",4,5)))),IF(AF77="None",9,IF(AF77="Critical Orbit",1,IF(AF77="Unstable Orbit",2,IF(AF77="Edge Orbit",3,IF(AF77="Controlled Orbit",4,5))))))=3,"Edge Orbit",IF(MIN(IF(X77="Critical Orbit",1,IF(X77="Unstable Orbit",2,IF(X77="Edge Orbit",3,IF(X77="Controlled Orbit",4,5)))),IF(AF77="None",9,IF(AF77="Critical Orbit",1,IF(AF77="Unstable Orbit",2,IF(AF77="Edge Orbit",3,IF(AF77="Controlled Orbit",4,5))))))=4,"Controlled Orbit","Stable Orbit")))))</f>
        <v/>
      </c>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12" t="str">
        <f aca="false">IF($A78="","",IF(AND(MAX(L78:R78)&gt;3,S78&lt;3),"Warning: EGI &gt;3 needs Tier 3+ evidence",IF(AND(C78="Autonomous Operations Zone",S78&lt;4),"Warning: Autonomous zone needs Tier 4 evidence","OK")))</f>
        <v/>
      </c>
      <c r="U78" s="10" t="str">
        <f aca="false">IF($A78="","",IF($D78="Basic",SUM(E78:K78)/35*100,SUMPRODUCT(E78:K78,INDEX('Weighted Scoring'!$B$5:$H$13,MATCH($B78,'Weighted Scoring'!$A$5:$A$13,0),0))/SUMPRODUCT(5,INDEX('Weighted Scoring'!$B$5:$H$13,MATCH($B78,'Weighted Scoring'!$A$5:$A$13,0),0))*100))</f>
        <v/>
      </c>
      <c r="V78" s="10" t="str">
        <f aca="false">IF($A78="","",IF($D78="Basic",SUM(L78:R78)/35*100,SUMPRODUCT(L78:R78,INDEX('Weighted Scoring'!$I$5:$O$13,MATCH($B78,'Weighted Scoring'!$A$5:$A$13,0),0))/SUMPRODUCT(5,INDEX('Weighted Scoring'!$I$5:$O$13,MATCH($B78,'Weighted Scoring'!$A$5:$A$13,0),0))*100))</f>
        <v/>
      </c>
      <c r="W78" s="10" t="str">
        <f aca="false">IF($A78="","",V78-U78)</f>
        <v/>
      </c>
      <c r="X78" s="12" t="str">
        <f aca="false">IF($A78="","",IF(W78&gt;=40,"Stable Orbit",IF(W78&gt;=15,"Controlled Orbit",IF(W78&gt;=-14,"Edge Orbit",IF(W78&gt;=-39,"Unstable Orbit","Critical Orbit")))))</f>
        <v/>
      </c>
      <c r="Y78" s="12" t="str">
        <f aca="false">IF($A78="","",INDEX('Deployment Gates'!$C$5:$C$9,MATCH(AH78,'Deployment Gates'!$A$5:$A$9,0)))</f>
        <v/>
      </c>
      <c r="Z78" s="3"/>
      <c r="AA78" s="12" t="str">
        <f aca="false">IF($A78="","",IF(OR(AH78="Edge Orbit",AH78="Unstable Orbit",AH78="Critical Orbit",H78&gt;=4,G78&gt;=4,E78&gt;=4,J78&gt;=4),"Yes","No"))</f>
        <v/>
      </c>
      <c r="AB78" s="12" t="str">
        <f aca="false">IF($A78="","",IF(W78&lt;0,"Yes","No"))</f>
        <v/>
      </c>
      <c r="AC78" s="12" t="str">
        <f aca="false">IF($A78="","",INDEX($L$4:$R$4,1,MATCH(MIN(L78:R78),L78:R78,0))&amp;IF(COUNTIF(L78:R78,MIN(L78:R78))&gt;1," (+"&amp;(COUNTIF(L78:R78,MIN(L78:R78))-1)&amp;" tied)",""))</f>
        <v/>
      </c>
      <c r="AD78" s="12" t="str">
        <f aca="false">IF($A78="","",INDEX($E$4:$K$4,1,MATCH(MAX(E78:K78),E78:K78,0))&amp;IF(COUNTIF(E78:K78,MAX(E78:K78))&gt;1," (+"&amp;(COUNTIF(E78:K78,MAX(E78:K78))-1)&amp;" tied)",""))</f>
        <v/>
      </c>
      <c r="AE78" s="12" t="str">
        <f aca="false">IF($A78="","",INDEX('Control Uplift Planner'!$B$5:$B$11,MATCH(INDEX($L$4:$R$4,1,MATCH(MIN(L78:R78),L78:R78,0)),'Control Uplift Planner'!$A$5:$A$11,0)))</f>
        <v/>
      </c>
      <c r="AF78" s="13" t="str">
        <f aca="false">IF($A78="","",IF(MIN(IF(AND(E78&gt;=4,H78&gt;=4),3,9),IF(AND(OR(C78="Governed Operations Zone",C78="Autonomous Operations Zone"),E78&gt;=3),IF(MIN(L78:N78)=0,2,IF(MIN(L78:N78)=1,3,9)),9),IF(AND(OR(C78="Governed Operations Zone",C78="Autonomous Operations Zone"),S78&lt;4),3,9))=9,"None",IF(MIN(IF(AND(E78&gt;=4,H78&gt;=4),3,9),IF(AND(OR(C78="Governed Operations Zone",C78="Autonomous Operations Zone"),E78&gt;=3),IF(MIN(L78:N78)=0,2,IF(MIN(L78:N78)=1,3,9)),9),IF(AND(OR(C78="Governed Operations Zone",C78="Autonomous Operations Zone"),S78&lt;4),3,9))=1,"Critical Orbit",IF(MIN(IF(AND(E78&gt;=4,H78&gt;=4),3,9),IF(AND(OR(C78="Governed Operations Zone",C78="Autonomous Operations Zone"),E78&gt;=3),IF(MIN(L78:N78)=0,2,IF(MIN(L78:N78)=1,3,9)),9),IF(AND(OR(C78="Governed Operations Zone",C78="Autonomous Operations Zone"),S78&lt;4),3,9))=2,"Unstable Orbit","Edge Orbit"))))</f>
        <v/>
      </c>
      <c r="AG78" s="14" t="str">
        <f aca="false">IF($A78="","",IF(IF(AND(E78&gt;=4,H78&gt;=4),"R1 concentrated force; ","")&amp;IF(AND(OR(C78="Governed Operations Zone",C78="Autonomous Operations Zone"),E78&gt;=3,MIN(L78:N78)&lt;=1),"R2 mandatory control "&amp;INDEX($L$4:$N$4,1,MATCH(MIN(L78:N78),L78:N78,0))&amp;"="&amp;MIN(L78:N78)&amp;"; ","")&amp;IF(AND(OR(C78="Governed Operations Zone",C78="Autonomous Operations Zone"),S78&lt;4),"R3 evidence tier "&amp;S78&amp;"&lt;4; ","")="","-",IF(AND(E78&gt;=4,H78&gt;=4),"R1 concentrated force; ","")&amp;IF(AND(OR(C78="Governed Operations Zone",C78="Autonomous Operations Zone"),E78&gt;=3,MIN(L78:N78)&lt;=1),"R2 mandatory control "&amp;INDEX($L$4:$N$4,1,MATCH(MIN(L78:N78),L78:N78,0))&amp;"="&amp;MIN(L78:N78)&amp;"; ","")&amp;IF(AND(OR(C78="Governed Operations Zone",C78="Autonomous Operations Zone"),S78&lt;4),"R3 evidence tier "&amp;S78&amp;"&lt;4; ","")))</f>
        <v/>
      </c>
      <c r="AH78" s="14" t="str">
        <f aca="false">IF($A78="","",IF(MIN(IF(X78="Critical Orbit",1,IF(X78="Unstable Orbit",2,IF(X78="Edge Orbit",3,IF(X78="Controlled Orbit",4,5)))),IF(AF78="None",9,IF(AF78="Critical Orbit",1,IF(AF78="Unstable Orbit",2,IF(AF78="Edge Orbit",3,IF(AF78="Controlled Orbit",4,5))))))=1,"Critical Orbit",IF(MIN(IF(X78="Critical Orbit",1,IF(X78="Unstable Orbit",2,IF(X78="Edge Orbit",3,IF(X78="Controlled Orbit",4,5)))),IF(AF78="None",9,IF(AF78="Critical Orbit",1,IF(AF78="Unstable Orbit",2,IF(AF78="Edge Orbit",3,IF(AF78="Controlled Orbit",4,5))))))=2,"Unstable Orbit",IF(MIN(IF(X78="Critical Orbit",1,IF(X78="Unstable Orbit",2,IF(X78="Edge Orbit",3,IF(X78="Controlled Orbit",4,5)))),IF(AF78="None",9,IF(AF78="Critical Orbit",1,IF(AF78="Unstable Orbit",2,IF(AF78="Edge Orbit",3,IF(AF78="Controlled Orbit",4,5))))))=3,"Edge Orbit",IF(MIN(IF(X78="Critical Orbit",1,IF(X78="Unstable Orbit",2,IF(X78="Edge Orbit",3,IF(X78="Controlled Orbit",4,5)))),IF(AF78="None",9,IF(AF78="Critical Orbit",1,IF(AF78="Unstable Orbit",2,IF(AF78="Edge Orbit",3,IF(AF78="Controlled Orbit",4,5))))))=4,"Controlled Orbit","Stable Orbit")))))</f>
        <v/>
      </c>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12" t="str">
        <f aca="false">IF($A79="","",IF(AND(MAX(L79:R79)&gt;3,S79&lt;3),"Warning: EGI &gt;3 needs Tier 3+ evidence",IF(AND(C79="Autonomous Operations Zone",S79&lt;4),"Warning: Autonomous zone needs Tier 4 evidence","OK")))</f>
        <v/>
      </c>
      <c r="U79" s="10" t="str">
        <f aca="false">IF($A79="","",IF($D79="Basic",SUM(E79:K79)/35*100,SUMPRODUCT(E79:K79,INDEX('Weighted Scoring'!$B$5:$H$13,MATCH($B79,'Weighted Scoring'!$A$5:$A$13,0),0))/SUMPRODUCT(5,INDEX('Weighted Scoring'!$B$5:$H$13,MATCH($B79,'Weighted Scoring'!$A$5:$A$13,0),0))*100))</f>
        <v/>
      </c>
      <c r="V79" s="10" t="str">
        <f aca="false">IF($A79="","",IF($D79="Basic",SUM(L79:R79)/35*100,SUMPRODUCT(L79:R79,INDEX('Weighted Scoring'!$I$5:$O$13,MATCH($B79,'Weighted Scoring'!$A$5:$A$13,0),0))/SUMPRODUCT(5,INDEX('Weighted Scoring'!$I$5:$O$13,MATCH($B79,'Weighted Scoring'!$A$5:$A$13,0),0))*100))</f>
        <v/>
      </c>
      <c r="W79" s="10" t="str">
        <f aca="false">IF($A79="","",V79-U79)</f>
        <v/>
      </c>
      <c r="X79" s="12" t="str">
        <f aca="false">IF($A79="","",IF(W79&gt;=40,"Stable Orbit",IF(W79&gt;=15,"Controlled Orbit",IF(W79&gt;=-14,"Edge Orbit",IF(W79&gt;=-39,"Unstable Orbit","Critical Orbit")))))</f>
        <v/>
      </c>
      <c r="Y79" s="12" t="str">
        <f aca="false">IF($A79="","",INDEX('Deployment Gates'!$C$5:$C$9,MATCH(AH79,'Deployment Gates'!$A$5:$A$9,0)))</f>
        <v/>
      </c>
      <c r="Z79" s="3"/>
      <c r="AA79" s="12" t="str">
        <f aca="false">IF($A79="","",IF(OR(AH79="Edge Orbit",AH79="Unstable Orbit",AH79="Critical Orbit",H79&gt;=4,G79&gt;=4,E79&gt;=4,J79&gt;=4),"Yes","No"))</f>
        <v/>
      </c>
      <c r="AB79" s="12" t="str">
        <f aca="false">IF($A79="","",IF(W79&lt;0,"Yes","No"))</f>
        <v/>
      </c>
      <c r="AC79" s="12" t="str">
        <f aca="false">IF($A79="","",INDEX($L$4:$R$4,1,MATCH(MIN(L79:R79),L79:R79,0))&amp;IF(COUNTIF(L79:R79,MIN(L79:R79))&gt;1," (+"&amp;(COUNTIF(L79:R79,MIN(L79:R79))-1)&amp;" tied)",""))</f>
        <v/>
      </c>
      <c r="AD79" s="12" t="str">
        <f aca="false">IF($A79="","",INDEX($E$4:$K$4,1,MATCH(MAX(E79:K79),E79:K79,0))&amp;IF(COUNTIF(E79:K79,MAX(E79:K79))&gt;1," (+"&amp;(COUNTIF(E79:K79,MAX(E79:K79))-1)&amp;" tied)",""))</f>
        <v/>
      </c>
      <c r="AE79" s="12" t="str">
        <f aca="false">IF($A79="","",INDEX('Control Uplift Planner'!$B$5:$B$11,MATCH(INDEX($L$4:$R$4,1,MATCH(MIN(L79:R79),L79:R79,0)),'Control Uplift Planner'!$A$5:$A$11,0)))</f>
        <v/>
      </c>
      <c r="AF79" s="13" t="str">
        <f aca="false">IF($A79="","",IF(MIN(IF(AND(E79&gt;=4,H79&gt;=4),3,9),IF(AND(OR(C79="Governed Operations Zone",C79="Autonomous Operations Zone"),E79&gt;=3),IF(MIN(L79:N79)=0,2,IF(MIN(L79:N79)=1,3,9)),9),IF(AND(OR(C79="Governed Operations Zone",C79="Autonomous Operations Zone"),S79&lt;4),3,9))=9,"None",IF(MIN(IF(AND(E79&gt;=4,H79&gt;=4),3,9),IF(AND(OR(C79="Governed Operations Zone",C79="Autonomous Operations Zone"),E79&gt;=3),IF(MIN(L79:N79)=0,2,IF(MIN(L79:N79)=1,3,9)),9),IF(AND(OR(C79="Governed Operations Zone",C79="Autonomous Operations Zone"),S79&lt;4),3,9))=1,"Critical Orbit",IF(MIN(IF(AND(E79&gt;=4,H79&gt;=4),3,9),IF(AND(OR(C79="Governed Operations Zone",C79="Autonomous Operations Zone"),E79&gt;=3),IF(MIN(L79:N79)=0,2,IF(MIN(L79:N79)=1,3,9)),9),IF(AND(OR(C79="Governed Operations Zone",C79="Autonomous Operations Zone"),S79&lt;4),3,9))=2,"Unstable Orbit","Edge Orbit"))))</f>
        <v/>
      </c>
      <c r="AG79" s="14" t="str">
        <f aca="false">IF($A79="","",IF(IF(AND(E79&gt;=4,H79&gt;=4),"R1 concentrated force; ","")&amp;IF(AND(OR(C79="Governed Operations Zone",C79="Autonomous Operations Zone"),E79&gt;=3,MIN(L79:N79)&lt;=1),"R2 mandatory control "&amp;INDEX($L$4:$N$4,1,MATCH(MIN(L79:N79),L79:N79,0))&amp;"="&amp;MIN(L79:N79)&amp;"; ","")&amp;IF(AND(OR(C79="Governed Operations Zone",C79="Autonomous Operations Zone"),S79&lt;4),"R3 evidence tier "&amp;S79&amp;"&lt;4; ","")="","-",IF(AND(E79&gt;=4,H79&gt;=4),"R1 concentrated force; ","")&amp;IF(AND(OR(C79="Governed Operations Zone",C79="Autonomous Operations Zone"),E79&gt;=3,MIN(L79:N79)&lt;=1),"R2 mandatory control "&amp;INDEX($L$4:$N$4,1,MATCH(MIN(L79:N79),L79:N79,0))&amp;"="&amp;MIN(L79:N79)&amp;"; ","")&amp;IF(AND(OR(C79="Governed Operations Zone",C79="Autonomous Operations Zone"),S79&lt;4),"R3 evidence tier "&amp;S79&amp;"&lt;4; ","")))</f>
        <v/>
      </c>
      <c r="AH79" s="14" t="str">
        <f aca="false">IF($A79="","",IF(MIN(IF(X79="Critical Orbit",1,IF(X79="Unstable Orbit",2,IF(X79="Edge Orbit",3,IF(X79="Controlled Orbit",4,5)))),IF(AF79="None",9,IF(AF79="Critical Orbit",1,IF(AF79="Unstable Orbit",2,IF(AF79="Edge Orbit",3,IF(AF79="Controlled Orbit",4,5))))))=1,"Critical Orbit",IF(MIN(IF(X79="Critical Orbit",1,IF(X79="Unstable Orbit",2,IF(X79="Edge Orbit",3,IF(X79="Controlled Orbit",4,5)))),IF(AF79="None",9,IF(AF79="Critical Orbit",1,IF(AF79="Unstable Orbit",2,IF(AF79="Edge Orbit",3,IF(AF79="Controlled Orbit",4,5))))))=2,"Unstable Orbit",IF(MIN(IF(X79="Critical Orbit",1,IF(X79="Unstable Orbit",2,IF(X79="Edge Orbit",3,IF(X79="Controlled Orbit",4,5)))),IF(AF79="None",9,IF(AF79="Critical Orbit",1,IF(AF79="Unstable Orbit",2,IF(AF79="Edge Orbit",3,IF(AF79="Controlled Orbit",4,5))))))=3,"Edge Orbit",IF(MIN(IF(X79="Critical Orbit",1,IF(X79="Unstable Orbit",2,IF(X79="Edge Orbit",3,IF(X79="Controlled Orbit",4,5)))),IF(AF79="None",9,IF(AF79="Critical Orbit",1,IF(AF79="Unstable Orbit",2,IF(AF79="Edge Orbit",3,IF(AF79="Controlled Orbit",4,5))))))=4,"Controlled Orbit","Stable Orbit")))))</f>
        <v/>
      </c>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12" t="str">
        <f aca="false">IF($A80="","",IF(AND(MAX(L80:R80)&gt;3,S80&lt;3),"Warning: EGI &gt;3 needs Tier 3+ evidence",IF(AND(C80="Autonomous Operations Zone",S80&lt;4),"Warning: Autonomous zone needs Tier 4 evidence","OK")))</f>
        <v/>
      </c>
      <c r="U80" s="10" t="str">
        <f aca="false">IF($A80="","",IF($D80="Basic",SUM(E80:K80)/35*100,SUMPRODUCT(E80:K80,INDEX('Weighted Scoring'!$B$5:$H$13,MATCH($B80,'Weighted Scoring'!$A$5:$A$13,0),0))/SUMPRODUCT(5,INDEX('Weighted Scoring'!$B$5:$H$13,MATCH($B80,'Weighted Scoring'!$A$5:$A$13,0),0))*100))</f>
        <v/>
      </c>
      <c r="V80" s="10" t="str">
        <f aca="false">IF($A80="","",IF($D80="Basic",SUM(L80:R80)/35*100,SUMPRODUCT(L80:R80,INDEX('Weighted Scoring'!$I$5:$O$13,MATCH($B80,'Weighted Scoring'!$A$5:$A$13,0),0))/SUMPRODUCT(5,INDEX('Weighted Scoring'!$I$5:$O$13,MATCH($B80,'Weighted Scoring'!$A$5:$A$13,0),0))*100))</f>
        <v/>
      </c>
      <c r="W80" s="10" t="str">
        <f aca="false">IF($A80="","",V80-U80)</f>
        <v/>
      </c>
      <c r="X80" s="12" t="str">
        <f aca="false">IF($A80="","",IF(W80&gt;=40,"Stable Orbit",IF(W80&gt;=15,"Controlled Orbit",IF(W80&gt;=-14,"Edge Orbit",IF(W80&gt;=-39,"Unstable Orbit","Critical Orbit")))))</f>
        <v/>
      </c>
      <c r="Y80" s="12" t="str">
        <f aca="false">IF($A80="","",INDEX('Deployment Gates'!$C$5:$C$9,MATCH(AH80,'Deployment Gates'!$A$5:$A$9,0)))</f>
        <v/>
      </c>
      <c r="Z80" s="3"/>
      <c r="AA80" s="12" t="str">
        <f aca="false">IF($A80="","",IF(OR(AH80="Edge Orbit",AH80="Unstable Orbit",AH80="Critical Orbit",H80&gt;=4,G80&gt;=4,E80&gt;=4,J80&gt;=4),"Yes","No"))</f>
        <v/>
      </c>
      <c r="AB80" s="12" t="str">
        <f aca="false">IF($A80="","",IF(W80&lt;0,"Yes","No"))</f>
        <v/>
      </c>
      <c r="AC80" s="12" t="str">
        <f aca="false">IF($A80="","",INDEX($L$4:$R$4,1,MATCH(MIN(L80:R80),L80:R80,0))&amp;IF(COUNTIF(L80:R80,MIN(L80:R80))&gt;1," (+"&amp;(COUNTIF(L80:R80,MIN(L80:R80))-1)&amp;" tied)",""))</f>
        <v/>
      </c>
      <c r="AD80" s="12" t="str">
        <f aca="false">IF($A80="","",INDEX($E$4:$K$4,1,MATCH(MAX(E80:K80),E80:K80,0))&amp;IF(COUNTIF(E80:K80,MAX(E80:K80))&gt;1," (+"&amp;(COUNTIF(E80:K80,MAX(E80:K80))-1)&amp;" tied)",""))</f>
        <v/>
      </c>
      <c r="AE80" s="12" t="str">
        <f aca="false">IF($A80="","",INDEX('Control Uplift Planner'!$B$5:$B$11,MATCH(INDEX($L$4:$R$4,1,MATCH(MIN(L80:R80),L80:R80,0)),'Control Uplift Planner'!$A$5:$A$11,0)))</f>
        <v/>
      </c>
      <c r="AF80" s="13" t="str">
        <f aca="false">IF($A80="","",IF(MIN(IF(AND(E80&gt;=4,H80&gt;=4),3,9),IF(AND(OR(C80="Governed Operations Zone",C80="Autonomous Operations Zone"),E80&gt;=3),IF(MIN(L80:N80)=0,2,IF(MIN(L80:N80)=1,3,9)),9),IF(AND(OR(C80="Governed Operations Zone",C80="Autonomous Operations Zone"),S80&lt;4),3,9))=9,"None",IF(MIN(IF(AND(E80&gt;=4,H80&gt;=4),3,9),IF(AND(OR(C80="Governed Operations Zone",C80="Autonomous Operations Zone"),E80&gt;=3),IF(MIN(L80:N80)=0,2,IF(MIN(L80:N80)=1,3,9)),9),IF(AND(OR(C80="Governed Operations Zone",C80="Autonomous Operations Zone"),S80&lt;4),3,9))=1,"Critical Orbit",IF(MIN(IF(AND(E80&gt;=4,H80&gt;=4),3,9),IF(AND(OR(C80="Governed Operations Zone",C80="Autonomous Operations Zone"),E80&gt;=3),IF(MIN(L80:N80)=0,2,IF(MIN(L80:N80)=1,3,9)),9),IF(AND(OR(C80="Governed Operations Zone",C80="Autonomous Operations Zone"),S80&lt;4),3,9))=2,"Unstable Orbit","Edge Orbit"))))</f>
        <v/>
      </c>
      <c r="AG80" s="14" t="str">
        <f aca="false">IF($A80="","",IF(IF(AND(E80&gt;=4,H80&gt;=4),"R1 concentrated force; ","")&amp;IF(AND(OR(C80="Governed Operations Zone",C80="Autonomous Operations Zone"),E80&gt;=3,MIN(L80:N80)&lt;=1),"R2 mandatory control "&amp;INDEX($L$4:$N$4,1,MATCH(MIN(L80:N80),L80:N80,0))&amp;"="&amp;MIN(L80:N80)&amp;"; ","")&amp;IF(AND(OR(C80="Governed Operations Zone",C80="Autonomous Operations Zone"),S80&lt;4),"R3 evidence tier "&amp;S80&amp;"&lt;4; ","")="","-",IF(AND(E80&gt;=4,H80&gt;=4),"R1 concentrated force; ","")&amp;IF(AND(OR(C80="Governed Operations Zone",C80="Autonomous Operations Zone"),E80&gt;=3,MIN(L80:N80)&lt;=1),"R2 mandatory control "&amp;INDEX($L$4:$N$4,1,MATCH(MIN(L80:N80),L80:N80,0))&amp;"="&amp;MIN(L80:N80)&amp;"; ","")&amp;IF(AND(OR(C80="Governed Operations Zone",C80="Autonomous Operations Zone"),S80&lt;4),"R3 evidence tier "&amp;S80&amp;"&lt;4; ","")))</f>
        <v/>
      </c>
      <c r="AH80" s="14" t="str">
        <f aca="false">IF($A80="","",IF(MIN(IF(X80="Critical Orbit",1,IF(X80="Unstable Orbit",2,IF(X80="Edge Orbit",3,IF(X80="Controlled Orbit",4,5)))),IF(AF80="None",9,IF(AF80="Critical Orbit",1,IF(AF80="Unstable Orbit",2,IF(AF80="Edge Orbit",3,IF(AF80="Controlled Orbit",4,5))))))=1,"Critical Orbit",IF(MIN(IF(X80="Critical Orbit",1,IF(X80="Unstable Orbit",2,IF(X80="Edge Orbit",3,IF(X80="Controlled Orbit",4,5)))),IF(AF80="None",9,IF(AF80="Critical Orbit",1,IF(AF80="Unstable Orbit",2,IF(AF80="Edge Orbit",3,IF(AF80="Controlled Orbit",4,5))))))=2,"Unstable Orbit",IF(MIN(IF(X80="Critical Orbit",1,IF(X80="Unstable Orbit",2,IF(X80="Edge Orbit",3,IF(X80="Controlled Orbit",4,5)))),IF(AF80="None",9,IF(AF80="Critical Orbit",1,IF(AF80="Unstable Orbit",2,IF(AF80="Edge Orbit",3,IF(AF80="Controlled Orbit",4,5))))))=3,"Edge Orbit",IF(MIN(IF(X80="Critical Orbit",1,IF(X80="Unstable Orbit",2,IF(X80="Edge Orbit",3,IF(X80="Controlled Orbit",4,5)))),IF(AF80="None",9,IF(AF80="Critical Orbit",1,IF(AF80="Unstable Orbit",2,IF(AF80="Edge Orbit",3,IF(AF80="Controlled Orbit",4,5))))))=4,"Controlled Orbit","Stable Orbit")))))</f>
        <v/>
      </c>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12" t="str">
        <f aca="false">IF($A81="","",IF(AND(MAX(L81:R81)&gt;3,S81&lt;3),"Warning: EGI &gt;3 needs Tier 3+ evidence",IF(AND(C81="Autonomous Operations Zone",S81&lt;4),"Warning: Autonomous zone needs Tier 4 evidence","OK")))</f>
        <v/>
      </c>
      <c r="U81" s="10" t="str">
        <f aca="false">IF($A81="","",IF($D81="Basic",SUM(E81:K81)/35*100,SUMPRODUCT(E81:K81,INDEX('Weighted Scoring'!$B$5:$H$13,MATCH($B81,'Weighted Scoring'!$A$5:$A$13,0),0))/SUMPRODUCT(5,INDEX('Weighted Scoring'!$B$5:$H$13,MATCH($B81,'Weighted Scoring'!$A$5:$A$13,0),0))*100))</f>
        <v/>
      </c>
      <c r="V81" s="10" t="str">
        <f aca="false">IF($A81="","",IF($D81="Basic",SUM(L81:R81)/35*100,SUMPRODUCT(L81:R81,INDEX('Weighted Scoring'!$I$5:$O$13,MATCH($B81,'Weighted Scoring'!$A$5:$A$13,0),0))/SUMPRODUCT(5,INDEX('Weighted Scoring'!$I$5:$O$13,MATCH($B81,'Weighted Scoring'!$A$5:$A$13,0),0))*100))</f>
        <v/>
      </c>
      <c r="W81" s="10" t="str">
        <f aca="false">IF($A81="","",V81-U81)</f>
        <v/>
      </c>
      <c r="X81" s="12" t="str">
        <f aca="false">IF($A81="","",IF(W81&gt;=40,"Stable Orbit",IF(W81&gt;=15,"Controlled Orbit",IF(W81&gt;=-14,"Edge Orbit",IF(W81&gt;=-39,"Unstable Orbit","Critical Orbit")))))</f>
        <v/>
      </c>
      <c r="Y81" s="12" t="str">
        <f aca="false">IF($A81="","",INDEX('Deployment Gates'!$C$5:$C$9,MATCH(AH81,'Deployment Gates'!$A$5:$A$9,0)))</f>
        <v/>
      </c>
      <c r="Z81" s="3"/>
      <c r="AA81" s="12" t="str">
        <f aca="false">IF($A81="","",IF(OR(AH81="Edge Orbit",AH81="Unstable Orbit",AH81="Critical Orbit",H81&gt;=4,G81&gt;=4,E81&gt;=4,J81&gt;=4),"Yes","No"))</f>
        <v/>
      </c>
      <c r="AB81" s="12" t="str">
        <f aca="false">IF($A81="","",IF(W81&lt;0,"Yes","No"))</f>
        <v/>
      </c>
      <c r="AC81" s="12" t="str">
        <f aca="false">IF($A81="","",INDEX($L$4:$R$4,1,MATCH(MIN(L81:R81),L81:R81,0))&amp;IF(COUNTIF(L81:R81,MIN(L81:R81))&gt;1," (+"&amp;(COUNTIF(L81:R81,MIN(L81:R81))-1)&amp;" tied)",""))</f>
        <v/>
      </c>
      <c r="AD81" s="12" t="str">
        <f aca="false">IF($A81="","",INDEX($E$4:$K$4,1,MATCH(MAX(E81:K81),E81:K81,0))&amp;IF(COUNTIF(E81:K81,MAX(E81:K81))&gt;1," (+"&amp;(COUNTIF(E81:K81,MAX(E81:K81))-1)&amp;" tied)",""))</f>
        <v/>
      </c>
      <c r="AE81" s="12" t="str">
        <f aca="false">IF($A81="","",INDEX('Control Uplift Planner'!$B$5:$B$11,MATCH(INDEX($L$4:$R$4,1,MATCH(MIN(L81:R81),L81:R81,0)),'Control Uplift Planner'!$A$5:$A$11,0)))</f>
        <v/>
      </c>
      <c r="AF81" s="13" t="str">
        <f aca="false">IF($A81="","",IF(MIN(IF(AND(E81&gt;=4,H81&gt;=4),3,9),IF(AND(OR(C81="Governed Operations Zone",C81="Autonomous Operations Zone"),E81&gt;=3),IF(MIN(L81:N81)=0,2,IF(MIN(L81:N81)=1,3,9)),9),IF(AND(OR(C81="Governed Operations Zone",C81="Autonomous Operations Zone"),S81&lt;4),3,9))=9,"None",IF(MIN(IF(AND(E81&gt;=4,H81&gt;=4),3,9),IF(AND(OR(C81="Governed Operations Zone",C81="Autonomous Operations Zone"),E81&gt;=3),IF(MIN(L81:N81)=0,2,IF(MIN(L81:N81)=1,3,9)),9),IF(AND(OR(C81="Governed Operations Zone",C81="Autonomous Operations Zone"),S81&lt;4),3,9))=1,"Critical Orbit",IF(MIN(IF(AND(E81&gt;=4,H81&gt;=4),3,9),IF(AND(OR(C81="Governed Operations Zone",C81="Autonomous Operations Zone"),E81&gt;=3),IF(MIN(L81:N81)=0,2,IF(MIN(L81:N81)=1,3,9)),9),IF(AND(OR(C81="Governed Operations Zone",C81="Autonomous Operations Zone"),S81&lt;4),3,9))=2,"Unstable Orbit","Edge Orbit"))))</f>
        <v/>
      </c>
      <c r="AG81" s="14" t="str">
        <f aca="false">IF($A81="","",IF(IF(AND(E81&gt;=4,H81&gt;=4),"R1 concentrated force; ","")&amp;IF(AND(OR(C81="Governed Operations Zone",C81="Autonomous Operations Zone"),E81&gt;=3,MIN(L81:N81)&lt;=1),"R2 mandatory control "&amp;INDEX($L$4:$N$4,1,MATCH(MIN(L81:N81),L81:N81,0))&amp;"="&amp;MIN(L81:N81)&amp;"; ","")&amp;IF(AND(OR(C81="Governed Operations Zone",C81="Autonomous Operations Zone"),S81&lt;4),"R3 evidence tier "&amp;S81&amp;"&lt;4; ","")="","-",IF(AND(E81&gt;=4,H81&gt;=4),"R1 concentrated force; ","")&amp;IF(AND(OR(C81="Governed Operations Zone",C81="Autonomous Operations Zone"),E81&gt;=3,MIN(L81:N81)&lt;=1),"R2 mandatory control "&amp;INDEX($L$4:$N$4,1,MATCH(MIN(L81:N81),L81:N81,0))&amp;"="&amp;MIN(L81:N81)&amp;"; ","")&amp;IF(AND(OR(C81="Governed Operations Zone",C81="Autonomous Operations Zone"),S81&lt;4),"R3 evidence tier "&amp;S81&amp;"&lt;4; ","")))</f>
        <v/>
      </c>
      <c r="AH81" s="14" t="str">
        <f aca="false">IF($A81="","",IF(MIN(IF(X81="Critical Orbit",1,IF(X81="Unstable Orbit",2,IF(X81="Edge Orbit",3,IF(X81="Controlled Orbit",4,5)))),IF(AF81="None",9,IF(AF81="Critical Orbit",1,IF(AF81="Unstable Orbit",2,IF(AF81="Edge Orbit",3,IF(AF81="Controlled Orbit",4,5))))))=1,"Critical Orbit",IF(MIN(IF(X81="Critical Orbit",1,IF(X81="Unstable Orbit",2,IF(X81="Edge Orbit",3,IF(X81="Controlled Orbit",4,5)))),IF(AF81="None",9,IF(AF81="Critical Orbit",1,IF(AF81="Unstable Orbit",2,IF(AF81="Edge Orbit",3,IF(AF81="Controlled Orbit",4,5))))))=2,"Unstable Orbit",IF(MIN(IF(X81="Critical Orbit",1,IF(X81="Unstable Orbit",2,IF(X81="Edge Orbit",3,IF(X81="Controlled Orbit",4,5)))),IF(AF81="None",9,IF(AF81="Critical Orbit",1,IF(AF81="Unstable Orbit",2,IF(AF81="Edge Orbit",3,IF(AF81="Controlled Orbit",4,5))))))=3,"Edge Orbit",IF(MIN(IF(X81="Critical Orbit",1,IF(X81="Unstable Orbit",2,IF(X81="Edge Orbit",3,IF(X81="Controlled Orbit",4,5)))),IF(AF81="None",9,IF(AF81="Critical Orbit",1,IF(AF81="Unstable Orbit",2,IF(AF81="Edge Orbit",3,IF(AF81="Controlled Orbit",4,5))))))=4,"Controlled Orbit","Stable Orbit")))))</f>
        <v/>
      </c>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12" t="str">
        <f aca="false">IF($A82="","",IF(AND(MAX(L82:R82)&gt;3,S82&lt;3),"Warning: EGI &gt;3 needs Tier 3+ evidence",IF(AND(C82="Autonomous Operations Zone",S82&lt;4),"Warning: Autonomous zone needs Tier 4 evidence","OK")))</f>
        <v/>
      </c>
      <c r="U82" s="10" t="str">
        <f aca="false">IF($A82="","",IF($D82="Basic",SUM(E82:K82)/35*100,SUMPRODUCT(E82:K82,INDEX('Weighted Scoring'!$B$5:$H$13,MATCH($B82,'Weighted Scoring'!$A$5:$A$13,0),0))/SUMPRODUCT(5,INDEX('Weighted Scoring'!$B$5:$H$13,MATCH($B82,'Weighted Scoring'!$A$5:$A$13,0),0))*100))</f>
        <v/>
      </c>
      <c r="V82" s="10" t="str">
        <f aca="false">IF($A82="","",IF($D82="Basic",SUM(L82:R82)/35*100,SUMPRODUCT(L82:R82,INDEX('Weighted Scoring'!$I$5:$O$13,MATCH($B82,'Weighted Scoring'!$A$5:$A$13,0),0))/SUMPRODUCT(5,INDEX('Weighted Scoring'!$I$5:$O$13,MATCH($B82,'Weighted Scoring'!$A$5:$A$13,0),0))*100))</f>
        <v/>
      </c>
      <c r="W82" s="10" t="str">
        <f aca="false">IF($A82="","",V82-U82)</f>
        <v/>
      </c>
      <c r="X82" s="12" t="str">
        <f aca="false">IF($A82="","",IF(W82&gt;=40,"Stable Orbit",IF(W82&gt;=15,"Controlled Orbit",IF(W82&gt;=-14,"Edge Orbit",IF(W82&gt;=-39,"Unstable Orbit","Critical Orbit")))))</f>
        <v/>
      </c>
      <c r="Y82" s="12" t="str">
        <f aca="false">IF($A82="","",INDEX('Deployment Gates'!$C$5:$C$9,MATCH(AH82,'Deployment Gates'!$A$5:$A$9,0)))</f>
        <v/>
      </c>
      <c r="Z82" s="3"/>
      <c r="AA82" s="12" t="str">
        <f aca="false">IF($A82="","",IF(OR(AH82="Edge Orbit",AH82="Unstable Orbit",AH82="Critical Orbit",H82&gt;=4,G82&gt;=4,E82&gt;=4,J82&gt;=4),"Yes","No"))</f>
        <v/>
      </c>
      <c r="AB82" s="12" t="str">
        <f aca="false">IF($A82="","",IF(W82&lt;0,"Yes","No"))</f>
        <v/>
      </c>
      <c r="AC82" s="12" t="str">
        <f aca="false">IF($A82="","",INDEX($L$4:$R$4,1,MATCH(MIN(L82:R82),L82:R82,0))&amp;IF(COUNTIF(L82:R82,MIN(L82:R82))&gt;1," (+"&amp;(COUNTIF(L82:R82,MIN(L82:R82))-1)&amp;" tied)",""))</f>
        <v/>
      </c>
      <c r="AD82" s="12" t="str">
        <f aca="false">IF($A82="","",INDEX($E$4:$K$4,1,MATCH(MAX(E82:K82),E82:K82,0))&amp;IF(COUNTIF(E82:K82,MAX(E82:K82))&gt;1," (+"&amp;(COUNTIF(E82:K82,MAX(E82:K82))-1)&amp;" tied)",""))</f>
        <v/>
      </c>
      <c r="AE82" s="12" t="str">
        <f aca="false">IF($A82="","",INDEX('Control Uplift Planner'!$B$5:$B$11,MATCH(INDEX($L$4:$R$4,1,MATCH(MIN(L82:R82),L82:R82,0)),'Control Uplift Planner'!$A$5:$A$11,0)))</f>
        <v/>
      </c>
      <c r="AF82" s="13" t="str">
        <f aca="false">IF($A82="","",IF(MIN(IF(AND(E82&gt;=4,H82&gt;=4),3,9),IF(AND(OR(C82="Governed Operations Zone",C82="Autonomous Operations Zone"),E82&gt;=3),IF(MIN(L82:N82)=0,2,IF(MIN(L82:N82)=1,3,9)),9),IF(AND(OR(C82="Governed Operations Zone",C82="Autonomous Operations Zone"),S82&lt;4),3,9))=9,"None",IF(MIN(IF(AND(E82&gt;=4,H82&gt;=4),3,9),IF(AND(OR(C82="Governed Operations Zone",C82="Autonomous Operations Zone"),E82&gt;=3),IF(MIN(L82:N82)=0,2,IF(MIN(L82:N82)=1,3,9)),9),IF(AND(OR(C82="Governed Operations Zone",C82="Autonomous Operations Zone"),S82&lt;4),3,9))=1,"Critical Orbit",IF(MIN(IF(AND(E82&gt;=4,H82&gt;=4),3,9),IF(AND(OR(C82="Governed Operations Zone",C82="Autonomous Operations Zone"),E82&gt;=3),IF(MIN(L82:N82)=0,2,IF(MIN(L82:N82)=1,3,9)),9),IF(AND(OR(C82="Governed Operations Zone",C82="Autonomous Operations Zone"),S82&lt;4),3,9))=2,"Unstable Orbit","Edge Orbit"))))</f>
        <v/>
      </c>
      <c r="AG82" s="14" t="str">
        <f aca="false">IF($A82="","",IF(IF(AND(E82&gt;=4,H82&gt;=4),"R1 concentrated force; ","")&amp;IF(AND(OR(C82="Governed Operations Zone",C82="Autonomous Operations Zone"),E82&gt;=3,MIN(L82:N82)&lt;=1),"R2 mandatory control "&amp;INDEX($L$4:$N$4,1,MATCH(MIN(L82:N82),L82:N82,0))&amp;"="&amp;MIN(L82:N82)&amp;"; ","")&amp;IF(AND(OR(C82="Governed Operations Zone",C82="Autonomous Operations Zone"),S82&lt;4),"R3 evidence tier "&amp;S82&amp;"&lt;4; ","")="","-",IF(AND(E82&gt;=4,H82&gt;=4),"R1 concentrated force; ","")&amp;IF(AND(OR(C82="Governed Operations Zone",C82="Autonomous Operations Zone"),E82&gt;=3,MIN(L82:N82)&lt;=1),"R2 mandatory control "&amp;INDEX($L$4:$N$4,1,MATCH(MIN(L82:N82),L82:N82,0))&amp;"="&amp;MIN(L82:N82)&amp;"; ","")&amp;IF(AND(OR(C82="Governed Operations Zone",C82="Autonomous Operations Zone"),S82&lt;4),"R3 evidence tier "&amp;S82&amp;"&lt;4; ","")))</f>
        <v/>
      </c>
      <c r="AH82" s="14" t="str">
        <f aca="false">IF($A82="","",IF(MIN(IF(X82="Critical Orbit",1,IF(X82="Unstable Orbit",2,IF(X82="Edge Orbit",3,IF(X82="Controlled Orbit",4,5)))),IF(AF82="None",9,IF(AF82="Critical Orbit",1,IF(AF82="Unstable Orbit",2,IF(AF82="Edge Orbit",3,IF(AF82="Controlled Orbit",4,5))))))=1,"Critical Orbit",IF(MIN(IF(X82="Critical Orbit",1,IF(X82="Unstable Orbit",2,IF(X82="Edge Orbit",3,IF(X82="Controlled Orbit",4,5)))),IF(AF82="None",9,IF(AF82="Critical Orbit",1,IF(AF82="Unstable Orbit",2,IF(AF82="Edge Orbit",3,IF(AF82="Controlled Orbit",4,5))))))=2,"Unstable Orbit",IF(MIN(IF(X82="Critical Orbit",1,IF(X82="Unstable Orbit",2,IF(X82="Edge Orbit",3,IF(X82="Controlled Orbit",4,5)))),IF(AF82="None",9,IF(AF82="Critical Orbit",1,IF(AF82="Unstable Orbit",2,IF(AF82="Edge Orbit",3,IF(AF82="Controlled Orbit",4,5))))))=3,"Edge Orbit",IF(MIN(IF(X82="Critical Orbit",1,IF(X82="Unstable Orbit",2,IF(X82="Edge Orbit",3,IF(X82="Controlled Orbit",4,5)))),IF(AF82="None",9,IF(AF82="Critical Orbit",1,IF(AF82="Unstable Orbit",2,IF(AF82="Edge Orbit",3,IF(AF82="Controlled Orbit",4,5))))))=4,"Controlled Orbit","Stable Orbit")))))</f>
        <v/>
      </c>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12" t="str">
        <f aca="false">IF($A83="","",IF(AND(MAX(L83:R83)&gt;3,S83&lt;3),"Warning: EGI &gt;3 needs Tier 3+ evidence",IF(AND(C83="Autonomous Operations Zone",S83&lt;4),"Warning: Autonomous zone needs Tier 4 evidence","OK")))</f>
        <v/>
      </c>
      <c r="U83" s="10" t="str">
        <f aca="false">IF($A83="","",IF($D83="Basic",SUM(E83:K83)/35*100,SUMPRODUCT(E83:K83,INDEX('Weighted Scoring'!$B$5:$H$13,MATCH($B83,'Weighted Scoring'!$A$5:$A$13,0),0))/SUMPRODUCT(5,INDEX('Weighted Scoring'!$B$5:$H$13,MATCH($B83,'Weighted Scoring'!$A$5:$A$13,0),0))*100))</f>
        <v/>
      </c>
      <c r="V83" s="10" t="str">
        <f aca="false">IF($A83="","",IF($D83="Basic",SUM(L83:R83)/35*100,SUMPRODUCT(L83:R83,INDEX('Weighted Scoring'!$I$5:$O$13,MATCH($B83,'Weighted Scoring'!$A$5:$A$13,0),0))/SUMPRODUCT(5,INDEX('Weighted Scoring'!$I$5:$O$13,MATCH($B83,'Weighted Scoring'!$A$5:$A$13,0),0))*100))</f>
        <v/>
      </c>
      <c r="W83" s="10" t="str">
        <f aca="false">IF($A83="","",V83-U83)</f>
        <v/>
      </c>
      <c r="X83" s="12" t="str">
        <f aca="false">IF($A83="","",IF(W83&gt;=40,"Stable Orbit",IF(W83&gt;=15,"Controlled Orbit",IF(W83&gt;=-14,"Edge Orbit",IF(W83&gt;=-39,"Unstable Orbit","Critical Orbit")))))</f>
        <v/>
      </c>
      <c r="Y83" s="12" t="str">
        <f aca="false">IF($A83="","",INDEX('Deployment Gates'!$C$5:$C$9,MATCH(AH83,'Deployment Gates'!$A$5:$A$9,0)))</f>
        <v/>
      </c>
      <c r="Z83" s="3"/>
      <c r="AA83" s="12" t="str">
        <f aca="false">IF($A83="","",IF(OR(AH83="Edge Orbit",AH83="Unstable Orbit",AH83="Critical Orbit",H83&gt;=4,G83&gt;=4,E83&gt;=4,J83&gt;=4),"Yes","No"))</f>
        <v/>
      </c>
      <c r="AB83" s="12" t="str">
        <f aca="false">IF($A83="","",IF(W83&lt;0,"Yes","No"))</f>
        <v/>
      </c>
      <c r="AC83" s="12" t="str">
        <f aca="false">IF($A83="","",INDEX($L$4:$R$4,1,MATCH(MIN(L83:R83),L83:R83,0))&amp;IF(COUNTIF(L83:R83,MIN(L83:R83))&gt;1," (+"&amp;(COUNTIF(L83:R83,MIN(L83:R83))-1)&amp;" tied)",""))</f>
        <v/>
      </c>
      <c r="AD83" s="12" t="str">
        <f aca="false">IF($A83="","",INDEX($E$4:$K$4,1,MATCH(MAX(E83:K83),E83:K83,0))&amp;IF(COUNTIF(E83:K83,MAX(E83:K83))&gt;1," (+"&amp;(COUNTIF(E83:K83,MAX(E83:K83))-1)&amp;" tied)",""))</f>
        <v/>
      </c>
      <c r="AE83" s="12" t="str">
        <f aca="false">IF($A83="","",INDEX('Control Uplift Planner'!$B$5:$B$11,MATCH(INDEX($L$4:$R$4,1,MATCH(MIN(L83:R83),L83:R83,0)),'Control Uplift Planner'!$A$5:$A$11,0)))</f>
        <v/>
      </c>
      <c r="AF83" s="13" t="str">
        <f aca="false">IF($A83="","",IF(MIN(IF(AND(E83&gt;=4,H83&gt;=4),3,9),IF(AND(OR(C83="Governed Operations Zone",C83="Autonomous Operations Zone"),E83&gt;=3),IF(MIN(L83:N83)=0,2,IF(MIN(L83:N83)=1,3,9)),9),IF(AND(OR(C83="Governed Operations Zone",C83="Autonomous Operations Zone"),S83&lt;4),3,9))=9,"None",IF(MIN(IF(AND(E83&gt;=4,H83&gt;=4),3,9),IF(AND(OR(C83="Governed Operations Zone",C83="Autonomous Operations Zone"),E83&gt;=3),IF(MIN(L83:N83)=0,2,IF(MIN(L83:N83)=1,3,9)),9),IF(AND(OR(C83="Governed Operations Zone",C83="Autonomous Operations Zone"),S83&lt;4),3,9))=1,"Critical Orbit",IF(MIN(IF(AND(E83&gt;=4,H83&gt;=4),3,9),IF(AND(OR(C83="Governed Operations Zone",C83="Autonomous Operations Zone"),E83&gt;=3),IF(MIN(L83:N83)=0,2,IF(MIN(L83:N83)=1,3,9)),9),IF(AND(OR(C83="Governed Operations Zone",C83="Autonomous Operations Zone"),S83&lt;4),3,9))=2,"Unstable Orbit","Edge Orbit"))))</f>
        <v/>
      </c>
      <c r="AG83" s="14" t="str">
        <f aca="false">IF($A83="","",IF(IF(AND(E83&gt;=4,H83&gt;=4),"R1 concentrated force; ","")&amp;IF(AND(OR(C83="Governed Operations Zone",C83="Autonomous Operations Zone"),E83&gt;=3,MIN(L83:N83)&lt;=1),"R2 mandatory control "&amp;INDEX($L$4:$N$4,1,MATCH(MIN(L83:N83),L83:N83,0))&amp;"="&amp;MIN(L83:N83)&amp;"; ","")&amp;IF(AND(OR(C83="Governed Operations Zone",C83="Autonomous Operations Zone"),S83&lt;4),"R3 evidence tier "&amp;S83&amp;"&lt;4; ","")="","-",IF(AND(E83&gt;=4,H83&gt;=4),"R1 concentrated force; ","")&amp;IF(AND(OR(C83="Governed Operations Zone",C83="Autonomous Operations Zone"),E83&gt;=3,MIN(L83:N83)&lt;=1),"R2 mandatory control "&amp;INDEX($L$4:$N$4,1,MATCH(MIN(L83:N83),L83:N83,0))&amp;"="&amp;MIN(L83:N83)&amp;"; ","")&amp;IF(AND(OR(C83="Governed Operations Zone",C83="Autonomous Operations Zone"),S83&lt;4),"R3 evidence tier "&amp;S83&amp;"&lt;4; ","")))</f>
        <v/>
      </c>
      <c r="AH83" s="14" t="str">
        <f aca="false">IF($A83="","",IF(MIN(IF(X83="Critical Orbit",1,IF(X83="Unstable Orbit",2,IF(X83="Edge Orbit",3,IF(X83="Controlled Orbit",4,5)))),IF(AF83="None",9,IF(AF83="Critical Orbit",1,IF(AF83="Unstable Orbit",2,IF(AF83="Edge Orbit",3,IF(AF83="Controlled Orbit",4,5))))))=1,"Critical Orbit",IF(MIN(IF(X83="Critical Orbit",1,IF(X83="Unstable Orbit",2,IF(X83="Edge Orbit",3,IF(X83="Controlled Orbit",4,5)))),IF(AF83="None",9,IF(AF83="Critical Orbit",1,IF(AF83="Unstable Orbit",2,IF(AF83="Edge Orbit",3,IF(AF83="Controlled Orbit",4,5))))))=2,"Unstable Orbit",IF(MIN(IF(X83="Critical Orbit",1,IF(X83="Unstable Orbit",2,IF(X83="Edge Orbit",3,IF(X83="Controlled Orbit",4,5)))),IF(AF83="None",9,IF(AF83="Critical Orbit",1,IF(AF83="Unstable Orbit",2,IF(AF83="Edge Orbit",3,IF(AF83="Controlled Orbit",4,5))))))=3,"Edge Orbit",IF(MIN(IF(X83="Critical Orbit",1,IF(X83="Unstable Orbit",2,IF(X83="Edge Orbit",3,IF(X83="Controlled Orbit",4,5)))),IF(AF83="None",9,IF(AF83="Critical Orbit",1,IF(AF83="Unstable Orbit",2,IF(AF83="Edge Orbit",3,IF(AF83="Controlled Orbit",4,5))))))=4,"Controlled Orbit","Stable Orbit")))))</f>
        <v/>
      </c>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12" t="str">
        <f aca="false">IF($A84="","",IF(AND(MAX(L84:R84)&gt;3,S84&lt;3),"Warning: EGI &gt;3 needs Tier 3+ evidence",IF(AND(C84="Autonomous Operations Zone",S84&lt;4),"Warning: Autonomous zone needs Tier 4 evidence","OK")))</f>
        <v/>
      </c>
      <c r="U84" s="10" t="str">
        <f aca="false">IF($A84="","",IF($D84="Basic",SUM(E84:K84)/35*100,SUMPRODUCT(E84:K84,INDEX('Weighted Scoring'!$B$5:$H$13,MATCH($B84,'Weighted Scoring'!$A$5:$A$13,0),0))/SUMPRODUCT(5,INDEX('Weighted Scoring'!$B$5:$H$13,MATCH($B84,'Weighted Scoring'!$A$5:$A$13,0),0))*100))</f>
        <v/>
      </c>
      <c r="V84" s="10" t="str">
        <f aca="false">IF($A84="","",IF($D84="Basic",SUM(L84:R84)/35*100,SUMPRODUCT(L84:R84,INDEX('Weighted Scoring'!$I$5:$O$13,MATCH($B84,'Weighted Scoring'!$A$5:$A$13,0),0))/SUMPRODUCT(5,INDEX('Weighted Scoring'!$I$5:$O$13,MATCH($B84,'Weighted Scoring'!$A$5:$A$13,0),0))*100))</f>
        <v/>
      </c>
      <c r="W84" s="10" t="str">
        <f aca="false">IF($A84="","",V84-U84)</f>
        <v/>
      </c>
      <c r="X84" s="12" t="str">
        <f aca="false">IF($A84="","",IF(W84&gt;=40,"Stable Orbit",IF(W84&gt;=15,"Controlled Orbit",IF(W84&gt;=-14,"Edge Orbit",IF(W84&gt;=-39,"Unstable Orbit","Critical Orbit")))))</f>
        <v/>
      </c>
      <c r="Y84" s="12" t="str">
        <f aca="false">IF($A84="","",INDEX('Deployment Gates'!$C$5:$C$9,MATCH(AH84,'Deployment Gates'!$A$5:$A$9,0)))</f>
        <v/>
      </c>
      <c r="Z84" s="3"/>
      <c r="AA84" s="12" t="str">
        <f aca="false">IF($A84="","",IF(OR(AH84="Edge Orbit",AH84="Unstable Orbit",AH84="Critical Orbit",H84&gt;=4,G84&gt;=4,E84&gt;=4,J84&gt;=4),"Yes","No"))</f>
        <v/>
      </c>
      <c r="AB84" s="12" t="str">
        <f aca="false">IF($A84="","",IF(W84&lt;0,"Yes","No"))</f>
        <v/>
      </c>
      <c r="AC84" s="12" t="str">
        <f aca="false">IF($A84="","",INDEX($L$4:$R$4,1,MATCH(MIN(L84:R84),L84:R84,0))&amp;IF(COUNTIF(L84:R84,MIN(L84:R84))&gt;1," (+"&amp;(COUNTIF(L84:R84,MIN(L84:R84))-1)&amp;" tied)",""))</f>
        <v/>
      </c>
      <c r="AD84" s="12" t="str">
        <f aca="false">IF($A84="","",INDEX($E$4:$K$4,1,MATCH(MAX(E84:K84),E84:K84,0))&amp;IF(COUNTIF(E84:K84,MAX(E84:K84))&gt;1," (+"&amp;(COUNTIF(E84:K84,MAX(E84:K84))-1)&amp;" tied)",""))</f>
        <v/>
      </c>
      <c r="AE84" s="12" t="str">
        <f aca="false">IF($A84="","",INDEX('Control Uplift Planner'!$B$5:$B$11,MATCH(INDEX($L$4:$R$4,1,MATCH(MIN(L84:R84),L84:R84,0)),'Control Uplift Planner'!$A$5:$A$11,0)))</f>
        <v/>
      </c>
      <c r="AF84" s="13" t="str">
        <f aca="false">IF($A84="","",IF(MIN(IF(AND(E84&gt;=4,H84&gt;=4),3,9),IF(AND(OR(C84="Governed Operations Zone",C84="Autonomous Operations Zone"),E84&gt;=3),IF(MIN(L84:N84)=0,2,IF(MIN(L84:N84)=1,3,9)),9),IF(AND(OR(C84="Governed Operations Zone",C84="Autonomous Operations Zone"),S84&lt;4),3,9))=9,"None",IF(MIN(IF(AND(E84&gt;=4,H84&gt;=4),3,9),IF(AND(OR(C84="Governed Operations Zone",C84="Autonomous Operations Zone"),E84&gt;=3),IF(MIN(L84:N84)=0,2,IF(MIN(L84:N84)=1,3,9)),9),IF(AND(OR(C84="Governed Operations Zone",C84="Autonomous Operations Zone"),S84&lt;4),3,9))=1,"Critical Orbit",IF(MIN(IF(AND(E84&gt;=4,H84&gt;=4),3,9),IF(AND(OR(C84="Governed Operations Zone",C84="Autonomous Operations Zone"),E84&gt;=3),IF(MIN(L84:N84)=0,2,IF(MIN(L84:N84)=1,3,9)),9),IF(AND(OR(C84="Governed Operations Zone",C84="Autonomous Operations Zone"),S84&lt;4),3,9))=2,"Unstable Orbit","Edge Orbit"))))</f>
        <v/>
      </c>
      <c r="AG84" s="14" t="str">
        <f aca="false">IF($A84="","",IF(IF(AND(E84&gt;=4,H84&gt;=4),"R1 concentrated force; ","")&amp;IF(AND(OR(C84="Governed Operations Zone",C84="Autonomous Operations Zone"),E84&gt;=3,MIN(L84:N84)&lt;=1),"R2 mandatory control "&amp;INDEX($L$4:$N$4,1,MATCH(MIN(L84:N84),L84:N84,0))&amp;"="&amp;MIN(L84:N84)&amp;"; ","")&amp;IF(AND(OR(C84="Governed Operations Zone",C84="Autonomous Operations Zone"),S84&lt;4),"R3 evidence tier "&amp;S84&amp;"&lt;4; ","")="","-",IF(AND(E84&gt;=4,H84&gt;=4),"R1 concentrated force; ","")&amp;IF(AND(OR(C84="Governed Operations Zone",C84="Autonomous Operations Zone"),E84&gt;=3,MIN(L84:N84)&lt;=1),"R2 mandatory control "&amp;INDEX($L$4:$N$4,1,MATCH(MIN(L84:N84),L84:N84,0))&amp;"="&amp;MIN(L84:N84)&amp;"; ","")&amp;IF(AND(OR(C84="Governed Operations Zone",C84="Autonomous Operations Zone"),S84&lt;4),"R3 evidence tier "&amp;S84&amp;"&lt;4; ","")))</f>
        <v/>
      </c>
      <c r="AH84" s="14" t="str">
        <f aca="false">IF($A84="","",IF(MIN(IF(X84="Critical Orbit",1,IF(X84="Unstable Orbit",2,IF(X84="Edge Orbit",3,IF(X84="Controlled Orbit",4,5)))),IF(AF84="None",9,IF(AF84="Critical Orbit",1,IF(AF84="Unstable Orbit",2,IF(AF84="Edge Orbit",3,IF(AF84="Controlled Orbit",4,5))))))=1,"Critical Orbit",IF(MIN(IF(X84="Critical Orbit",1,IF(X84="Unstable Orbit",2,IF(X84="Edge Orbit",3,IF(X84="Controlled Orbit",4,5)))),IF(AF84="None",9,IF(AF84="Critical Orbit",1,IF(AF84="Unstable Orbit",2,IF(AF84="Edge Orbit",3,IF(AF84="Controlled Orbit",4,5))))))=2,"Unstable Orbit",IF(MIN(IF(X84="Critical Orbit",1,IF(X84="Unstable Orbit",2,IF(X84="Edge Orbit",3,IF(X84="Controlled Orbit",4,5)))),IF(AF84="None",9,IF(AF84="Critical Orbit",1,IF(AF84="Unstable Orbit",2,IF(AF84="Edge Orbit",3,IF(AF84="Controlled Orbit",4,5))))))=3,"Edge Orbit",IF(MIN(IF(X84="Critical Orbit",1,IF(X84="Unstable Orbit",2,IF(X84="Edge Orbit",3,IF(X84="Controlled Orbit",4,5)))),IF(AF84="None",9,IF(AF84="Critical Orbit",1,IF(AF84="Unstable Orbit",2,IF(AF84="Edge Orbit",3,IF(AF84="Controlled Orbit",4,5))))))=4,"Controlled Orbit","Stable Orbit")))))</f>
        <v/>
      </c>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12" t="str">
        <f aca="false">IF($A85="","",IF(AND(MAX(L85:R85)&gt;3,S85&lt;3),"Warning: EGI &gt;3 needs Tier 3+ evidence",IF(AND(C85="Autonomous Operations Zone",S85&lt;4),"Warning: Autonomous zone needs Tier 4 evidence","OK")))</f>
        <v/>
      </c>
      <c r="U85" s="10" t="str">
        <f aca="false">IF($A85="","",IF($D85="Basic",SUM(E85:K85)/35*100,SUMPRODUCT(E85:K85,INDEX('Weighted Scoring'!$B$5:$H$13,MATCH($B85,'Weighted Scoring'!$A$5:$A$13,0),0))/SUMPRODUCT(5,INDEX('Weighted Scoring'!$B$5:$H$13,MATCH($B85,'Weighted Scoring'!$A$5:$A$13,0),0))*100))</f>
        <v/>
      </c>
      <c r="V85" s="10" t="str">
        <f aca="false">IF($A85="","",IF($D85="Basic",SUM(L85:R85)/35*100,SUMPRODUCT(L85:R85,INDEX('Weighted Scoring'!$I$5:$O$13,MATCH($B85,'Weighted Scoring'!$A$5:$A$13,0),0))/SUMPRODUCT(5,INDEX('Weighted Scoring'!$I$5:$O$13,MATCH($B85,'Weighted Scoring'!$A$5:$A$13,0),0))*100))</f>
        <v/>
      </c>
      <c r="W85" s="10" t="str">
        <f aca="false">IF($A85="","",V85-U85)</f>
        <v/>
      </c>
      <c r="X85" s="12" t="str">
        <f aca="false">IF($A85="","",IF(W85&gt;=40,"Stable Orbit",IF(W85&gt;=15,"Controlled Orbit",IF(W85&gt;=-14,"Edge Orbit",IF(W85&gt;=-39,"Unstable Orbit","Critical Orbit")))))</f>
        <v/>
      </c>
      <c r="Y85" s="12" t="str">
        <f aca="false">IF($A85="","",INDEX('Deployment Gates'!$C$5:$C$9,MATCH(AH85,'Deployment Gates'!$A$5:$A$9,0)))</f>
        <v/>
      </c>
      <c r="Z85" s="3"/>
      <c r="AA85" s="12" t="str">
        <f aca="false">IF($A85="","",IF(OR(AH85="Edge Orbit",AH85="Unstable Orbit",AH85="Critical Orbit",H85&gt;=4,G85&gt;=4,E85&gt;=4,J85&gt;=4),"Yes","No"))</f>
        <v/>
      </c>
      <c r="AB85" s="12" t="str">
        <f aca="false">IF($A85="","",IF(W85&lt;0,"Yes","No"))</f>
        <v/>
      </c>
      <c r="AC85" s="12" t="str">
        <f aca="false">IF($A85="","",INDEX($L$4:$R$4,1,MATCH(MIN(L85:R85),L85:R85,0))&amp;IF(COUNTIF(L85:R85,MIN(L85:R85))&gt;1," (+"&amp;(COUNTIF(L85:R85,MIN(L85:R85))-1)&amp;" tied)",""))</f>
        <v/>
      </c>
      <c r="AD85" s="12" t="str">
        <f aca="false">IF($A85="","",INDEX($E$4:$K$4,1,MATCH(MAX(E85:K85),E85:K85,0))&amp;IF(COUNTIF(E85:K85,MAX(E85:K85))&gt;1," (+"&amp;(COUNTIF(E85:K85,MAX(E85:K85))-1)&amp;" tied)",""))</f>
        <v/>
      </c>
      <c r="AE85" s="12" t="str">
        <f aca="false">IF($A85="","",INDEX('Control Uplift Planner'!$B$5:$B$11,MATCH(INDEX($L$4:$R$4,1,MATCH(MIN(L85:R85),L85:R85,0)),'Control Uplift Planner'!$A$5:$A$11,0)))</f>
        <v/>
      </c>
      <c r="AF85" s="13" t="str">
        <f aca="false">IF($A85="","",IF(MIN(IF(AND(E85&gt;=4,H85&gt;=4),3,9),IF(AND(OR(C85="Governed Operations Zone",C85="Autonomous Operations Zone"),E85&gt;=3),IF(MIN(L85:N85)=0,2,IF(MIN(L85:N85)=1,3,9)),9),IF(AND(OR(C85="Governed Operations Zone",C85="Autonomous Operations Zone"),S85&lt;4),3,9))=9,"None",IF(MIN(IF(AND(E85&gt;=4,H85&gt;=4),3,9),IF(AND(OR(C85="Governed Operations Zone",C85="Autonomous Operations Zone"),E85&gt;=3),IF(MIN(L85:N85)=0,2,IF(MIN(L85:N85)=1,3,9)),9),IF(AND(OR(C85="Governed Operations Zone",C85="Autonomous Operations Zone"),S85&lt;4),3,9))=1,"Critical Orbit",IF(MIN(IF(AND(E85&gt;=4,H85&gt;=4),3,9),IF(AND(OR(C85="Governed Operations Zone",C85="Autonomous Operations Zone"),E85&gt;=3),IF(MIN(L85:N85)=0,2,IF(MIN(L85:N85)=1,3,9)),9),IF(AND(OR(C85="Governed Operations Zone",C85="Autonomous Operations Zone"),S85&lt;4),3,9))=2,"Unstable Orbit","Edge Orbit"))))</f>
        <v/>
      </c>
      <c r="AG85" s="14" t="str">
        <f aca="false">IF($A85="","",IF(IF(AND(E85&gt;=4,H85&gt;=4),"R1 concentrated force; ","")&amp;IF(AND(OR(C85="Governed Operations Zone",C85="Autonomous Operations Zone"),E85&gt;=3,MIN(L85:N85)&lt;=1),"R2 mandatory control "&amp;INDEX($L$4:$N$4,1,MATCH(MIN(L85:N85),L85:N85,0))&amp;"="&amp;MIN(L85:N85)&amp;"; ","")&amp;IF(AND(OR(C85="Governed Operations Zone",C85="Autonomous Operations Zone"),S85&lt;4),"R3 evidence tier "&amp;S85&amp;"&lt;4; ","")="","-",IF(AND(E85&gt;=4,H85&gt;=4),"R1 concentrated force; ","")&amp;IF(AND(OR(C85="Governed Operations Zone",C85="Autonomous Operations Zone"),E85&gt;=3,MIN(L85:N85)&lt;=1),"R2 mandatory control "&amp;INDEX($L$4:$N$4,1,MATCH(MIN(L85:N85),L85:N85,0))&amp;"="&amp;MIN(L85:N85)&amp;"; ","")&amp;IF(AND(OR(C85="Governed Operations Zone",C85="Autonomous Operations Zone"),S85&lt;4),"R3 evidence tier "&amp;S85&amp;"&lt;4; ","")))</f>
        <v/>
      </c>
      <c r="AH85" s="14" t="str">
        <f aca="false">IF($A85="","",IF(MIN(IF(X85="Critical Orbit",1,IF(X85="Unstable Orbit",2,IF(X85="Edge Orbit",3,IF(X85="Controlled Orbit",4,5)))),IF(AF85="None",9,IF(AF85="Critical Orbit",1,IF(AF85="Unstable Orbit",2,IF(AF85="Edge Orbit",3,IF(AF85="Controlled Orbit",4,5))))))=1,"Critical Orbit",IF(MIN(IF(X85="Critical Orbit",1,IF(X85="Unstable Orbit",2,IF(X85="Edge Orbit",3,IF(X85="Controlled Orbit",4,5)))),IF(AF85="None",9,IF(AF85="Critical Orbit",1,IF(AF85="Unstable Orbit",2,IF(AF85="Edge Orbit",3,IF(AF85="Controlled Orbit",4,5))))))=2,"Unstable Orbit",IF(MIN(IF(X85="Critical Orbit",1,IF(X85="Unstable Orbit",2,IF(X85="Edge Orbit",3,IF(X85="Controlled Orbit",4,5)))),IF(AF85="None",9,IF(AF85="Critical Orbit",1,IF(AF85="Unstable Orbit",2,IF(AF85="Edge Orbit",3,IF(AF85="Controlled Orbit",4,5))))))=3,"Edge Orbit",IF(MIN(IF(X85="Critical Orbit",1,IF(X85="Unstable Orbit",2,IF(X85="Edge Orbit",3,IF(X85="Controlled Orbit",4,5)))),IF(AF85="None",9,IF(AF85="Critical Orbit",1,IF(AF85="Unstable Orbit",2,IF(AF85="Edge Orbit",3,IF(AF85="Controlled Orbit",4,5))))))=4,"Controlled Orbit","Stable Orbit")))))</f>
        <v/>
      </c>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12" t="str">
        <f aca="false">IF($A86="","",IF(AND(MAX(L86:R86)&gt;3,S86&lt;3),"Warning: EGI &gt;3 needs Tier 3+ evidence",IF(AND(C86="Autonomous Operations Zone",S86&lt;4),"Warning: Autonomous zone needs Tier 4 evidence","OK")))</f>
        <v/>
      </c>
      <c r="U86" s="10" t="str">
        <f aca="false">IF($A86="","",IF($D86="Basic",SUM(E86:K86)/35*100,SUMPRODUCT(E86:K86,INDEX('Weighted Scoring'!$B$5:$H$13,MATCH($B86,'Weighted Scoring'!$A$5:$A$13,0),0))/SUMPRODUCT(5,INDEX('Weighted Scoring'!$B$5:$H$13,MATCH($B86,'Weighted Scoring'!$A$5:$A$13,0),0))*100))</f>
        <v/>
      </c>
      <c r="V86" s="10" t="str">
        <f aca="false">IF($A86="","",IF($D86="Basic",SUM(L86:R86)/35*100,SUMPRODUCT(L86:R86,INDEX('Weighted Scoring'!$I$5:$O$13,MATCH($B86,'Weighted Scoring'!$A$5:$A$13,0),0))/SUMPRODUCT(5,INDEX('Weighted Scoring'!$I$5:$O$13,MATCH($B86,'Weighted Scoring'!$A$5:$A$13,0),0))*100))</f>
        <v/>
      </c>
      <c r="W86" s="10" t="str">
        <f aca="false">IF($A86="","",V86-U86)</f>
        <v/>
      </c>
      <c r="X86" s="12" t="str">
        <f aca="false">IF($A86="","",IF(W86&gt;=40,"Stable Orbit",IF(W86&gt;=15,"Controlled Orbit",IF(W86&gt;=-14,"Edge Orbit",IF(W86&gt;=-39,"Unstable Orbit","Critical Orbit")))))</f>
        <v/>
      </c>
      <c r="Y86" s="12" t="str">
        <f aca="false">IF($A86="","",INDEX('Deployment Gates'!$C$5:$C$9,MATCH(AH86,'Deployment Gates'!$A$5:$A$9,0)))</f>
        <v/>
      </c>
      <c r="Z86" s="3"/>
      <c r="AA86" s="12" t="str">
        <f aca="false">IF($A86="","",IF(OR(AH86="Edge Orbit",AH86="Unstable Orbit",AH86="Critical Orbit",H86&gt;=4,G86&gt;=4,E86&gt;=4,J86&gt;=4),"Yes","No"))</f>
        <v/>
      </c>
      <c r="AB86" s="12" t="str">
        <f aca="false">IF($A86="","",IF(W86&lt;0,"Yes","No"))</f>
        <v/>
      </c>
      <c r="AC86" s="12" t="str">
        <f aca="false">IF($A86="","",INDEX($L$4:$R$4,1,MATCH(MIN(L86:R86),L86:R86,0))&amp;IF(COUNTIF(L86:R86,MIN(L86:R86))&gt;1," (+"&amp;(COUNTIF(L86:R86,MIN(L86:R86))-1)&amp;" tied)",""))</f>
        <v/>
      </c>
      <c r="AD86" s="12" t="str">
        <f aca="false">IF($A86="","",INDEX($E$4:$K$4,1,MATCH(MAX(E86:K86),E86:K86,0))&amp;IF(COUNTIF(E86:K86,MAX(E86:K86))&gt;1," (+"&amp;(COUNTIF(E86:K86,MAX(E86:K86))-1)&amp;" tied)",""))</f>
        <v/>
      </c>
      <c r="AE86" s="12" t="str">
        <f aca="false">IF($A86="","",INDEX('Control Uplift Planner'!$B$5:$B$11,MATCH(INDEX($L$4:$R$4,1,MATCH(MIN(L86:R86),L86:R86,0)),'Control Uplift Planner'!$A$5:$A$11,0)))</f>
        <v/>
      </c>
      <c r="AF86" s="13" t="str">
        <f aca="false">IF($A86="","",IF(MIN(IF(AND(E86&gt;=4,H86&gt;=4),3,9),IF(AND(OR(C86="Governed Operations Zone",C86="Autonomous Operations Zone"),E86&gt;=3),IF(MIN(L86:N86)=0,2,IF(MIN(L86:N86)=1,3,9)),9),IF(AND(OR(C86="Governed Operations Zone",C86="Autonomous Operations Zone"),S86&lt;4),3,9))=9,"None",IF(MIN(IF(AND(E86&gt;=4,H86&gt;=4),3,9),IF(AND(OR(C86="Governed Operations Zone",C86="Autonomous Operations Zone"),E86&gt;=3),IF(MIN(L86:N86)=0,2,IF(MIN(L86:N86)=1,3,9)),9),IF(AND(OR(C86="Governed Operations Zone",C86="Autonomous Operations Zone"),S86&lt;4),3,9))=1,"Critical Orbit",IF(MIN(IF(AND(E86&gt;=4,H86&gt;=4),3,9),IF(AND(OR(C86="Governed Operations Zone",C86="Autonomous Operations Zone"),E86&gt;=3),IF(MIN(L86:N86)=0,2,IF(MIN(L86:N86)=1,3,9)),9),IF(AND(OR(C86="Governed Operations Zone",C86="Autonomous Operations Zone"),S86&lt;4),3,9))=2,"Unstable Orbit","Edge Orbit"))))</f>
        <v/>
      </c>
      <c r="AG86" s="14" t="str">
        <f aca="false">IF($A86="","",IF(IF(AND(E86&gt;=4,H86&gt;=4),"R1 concentrated force; ","")&amp;IF(AND(OR(C86="Governed Operations Zone",C86="Autonomous Operations Zone"),E86&gt;=3,MIN(L86:N86)&lt;=1),"R2 mandatory control "&amp;INDEX($L$4:$N$4,1,MATCH(MIN(L86:N86),L86:N86,0))&amp;"="&amp;MIN(L86:N86)&amp;"; ","")&amp;IF(AND(OR(C86="Governed Operations Zone",C86="Autonomous Operations Zone"),S86&lt;4),"R3 evidence tier "&amp;S86&amp;"&lt;4; ","")="","-",IF(AND(E86&gt;=4,H86&gt;=4),"R1 concentrated force; ","")&amp;IF(AND(OR(C86="Governed Operations Zone",C86="Autonomous Operations Zone"),E86&gt;=3,MIN(L86:N86)&lt;=1),"R2 mandatory control "&amp;INDEX($L$4:$N$4,1,MATCH(MIN(L86:N86),L86:N86,0))&amp;"="&amp;MIN(L86:N86)&amp;"; ","")&amp;IF(AND(OR(C86="Governed Operations Zone",C86="Autonomous Operations Zone"),S86&lt;4),"R3 evidence tier "&amp;S86&amp;"&lt;4; ","")))</f>
        <v/>
      </c>
      <c r="AH86" s="14" t="str">
        <f aca="false">IF($A86="","",IF(MIN(IF(X86="Critical Orbit",1,IF(X86="Unstable Orbit",2,IF(X86="Edge Orbit",3,IF(X86="Controlled Orbit",4,5)))),IF(AF86="None",9,IF(AF86="Critical Orbit",1,IF(AF86="Unstable Orbit",2,IF(AF86="Edge Orbit",3,IF(AF86="Controlled Orbit",4,5))))))=1,"Critical Orbit",IF(MIN(IF(X86="Critical Orbit",1,IF(X86="Unstable Orbit",2,IF(X86="Edge Orbit",3,IF(X86="Controlled Orbit",4,5)))),IF(AF86="None",9,IF(AF86="Critical Orbit",1,IF(AF86="Unstable Orbit",2,IF(AF86="Edge Orbit",3,IF(AF86="Controlled Orbit",4,5))))))=2,"Unstable Orbit",IF(MIN(IF(X86="Critical Orbit",1,IF(X86="Unstable Orbit",2,IF(X86="Edge Orbit",3,IF(X86="Controlled Orbit",4,5)))),IF(AF86="None",9,IF(AF86="Critical Orbit",1,IF(AF86="Unstable Orbit",2,IF(AF86="Edge Orbit",3,IF(AF86="Controlled Orbit",4,5))))))=3,"Edge Orbit",IF(MIN(IF(X86="Critical Orbit",1,IF(X86="Unstable Orbit",2,IF(X86="Edge Orbit",3,IF(X86="Controlled Orbit",4,5)))),IF(AF86="None",9,IF(AF86="Critical Orbit",1,IF(AF86="Unstable Orbit",2,IF(AF86="Edge Orbit",3,IF(AF86="Controlled Orbit",4,5))))))=4,"Controlled Orbit","Stable Orbit")))))</f>
        <v/>
      </c>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12" t="str">
        <f aca="false">IF($A87="","",IF(AND(MAX(L87:R87)&gt;3,S87&lt;3),"Warning: EGI &gt;3 needs Tier 3+ evidence",IF(AND(C87="Autonomous Operations Zone",S87&lt;4),"Warning: Autonomous zone needs Tier 4 evidence","OK")))</f>
        <v/>
      </c>
      <c r="U87" s="10" t="str">
        <f aca="false">IF($A87="","",IF($D87="Basic",SUM(E87:K87)/35*100,SUMPRODUCT(E87:K87,INDEX('Weighted Scoring'!$B$5:$H$13,MATCH($B87,'Weighted Scoring'!$A$5:$A$13,0),0))/SUMPRODUCT(5,INDEX('Weighted Scoring'!$B$5:$H$13,MATCH($B87,'Weighted Scoring'!$A$5:$A$13,0),0))*100))</f>
        <v/>
      </c>
      <c r="V87" s="10" t="str">
        <f aca="false">IF($A87="","",IF($D87="Basic",SUM(L87:R87)/35*100,SUMPRODUCT(L87:R87,INDEX('Weighted Scoring'!$I$5:$O$13,MATCH($B87,'Weighted Scoring'!$A$5:$A$13,0),0))/SUMPRODUCT(5,INDEX('Weighted Scoring'!$I$5:$O$13,MATCH($B87,'Weighted Scoring'!$A$5:$A$13,0),0))*100))</f>
        <v/>
      </c>
      <c r="W87" s="10" t="str">
        <f aca="false">IF($A87="","",V87-U87)</f>
        <v/>
      </c>
      <c r="X87" s="12" t="str">
        <f aca="false">IF($A87="","",IF(W87&gt;=40,"Stable Orbit",IF(W87&gt;=15,"Controlled Orbit",IF(W87&gt;=-14,"Edge Orbit",IF(W87&gt;=-39,"Unstable Orbit","Critical Orbit")))))</f>
        <v/>
      </c>
      <c r="Y87" s="12" t="str">
        <f aca="false">IF($A87="","",INDEX('Deployment Gates'!$C$5:$C$9,MATCH(AH87,'Deployment Gates'!$A$5:$A$9,0)))</f>
        <v/>
      </c>
      <c r="Z87" s="3"/>
      <c r="AA87" s="12" t="str">
        <f aca="false">IF($A87="","",IF(OR(AH87="Edge Orbit",AH87="Unstable Orbit",AH87="Critical Orbit",H87&gt;=4,G87&gt;=4,E87&gt;=4,J87&gt;=4),"Yes","No"))</f>
        <v/>
      </c>
      <c r="AB87" s="12" t="str">
        <f aca="false">IF($A87="","",IF(W87&lt;0,"Yes","No"))</f>
        <v/>
      </c>
      <c r="AC87" s="12" t="str">
        <f aca="false">IF($A87="","",INDEX($L$4:$R$4,1,MATCH(MIN(L87:R87),L87:R87,0))&amp;IF(COUNTIF(L87:R87,MIN(L87:R87))&gt;1," (+"&amp;(COUNTIF(L87:R87,MIN(L87:R87))-1)&amp;" tied)",""))</f>
        <v/>
      </c>
      <c r="AD87" s="12" t="str">
        <f aca="false">IF($A87="","",INDEX($E$4:$K$4,1,MATCH(MAX(E87:K87),E87:K87,0))&amp;IF(COUNTIF(E87:K87,MAX(E87:K87))&gt;1," (+"&amp;(COUNTIF(E87:K87,MAX(E87:K87))-1)&amp;" tied)",""))</f>
        <v/>
      </c>
      <c r="AE87" s="12" t="str">
        <f aca="false">IF($A87="","",INDEX('Control Uplift Planner'!$B$5:$B$11,MATCH(INDEX($L$4:$R$4,1,MATCH(MIN(L87:R87),L87:R87,0)),'Control Uplift Planner'!$A$5:$A$11,0)))</f>
        <v/>
      </c>
      <c r="AF87" s="13" t="str">
        <f aca="false">IF($A87="","",IF(MIN(IF(AND(E87&gt;=4,H87&gt;=4),3,9),IF(AND(OR(C87="Governed Operations Zone",C87="Autonomous Operations Zone"),E87&gt;=3),IF(MIN(L87:N87)=0,2,IF(MIN(L87:N87)=1,3,9)),9),IF(AND(OR(C87="Governed Operations Zone",C87="Autonomous Operations Zone"),S87&lt;4),3,9))=9,"None",IF(MIN(IF(AND(E87&gt;=4,H87&gt;=4),3,9),IF(AND(OR(C87="Governed Operations Zone",C87="Autonomous Operations Zone"),E87&gt;=3),IF(MIN(L87:N87)=0,2,IF(MIN(L87:N87)=1,3,9)),9),IF(AND(OR(C87="Governed Operations Zone",C87="Autonomous Operations Zone"),S87&lt;4),3,9))=1,"Critical Orbit",IF(MIN(IF(AND(E87&gt;=4,H87&gt;=4),3,9),IF(AND(OR(C87="Governed Operations Zone",C87="Autonomous Operations Zone"),E87&gt;=3),IF(MIN(L87:N87)=0,2,IF(MIN(L87:N87)=1,3,9)),9),IF(AND(OR(C87="Governed Operations Zone",C87="Autonomous Operations Zone"),S87&lt;4),3,9))=2,"Unstable Orbit","Edge Orbit"))))</f>
        <v/>
      </c>
      <c r="AG87" s="14" t="str">
        <f aca="false">IF($A87="","",IF(IF(AND(E87&gt;=4,H87&gt;=4),"R1 concentrated force; ","")&amp;IF(AND(OR(C87="Governed Operations Zone",C87="Autonomous Operations Zone"),E87&gt;=3,MIN(L87:N87)&lt;=1),"R2 mandatory control "&amp;INDEX($L$4:$N$4,1,MATCH(MIN(L87:N87),L87:N87,0))&amp;"="&amp;MIN(L87:N87)&amp;"; ","")&amp;IF(AND(OR(C87="Governed Operations Zone",C87="Autonomous Operations Zone"),S87&lt;4),"R3 evidence tier "&amp;S87&amp;"&lt;4; ","")="","-",IF(AND(E87&gt;=4,H87&gt;=4),"R1 concentrated force; ","")&amp;IF(AND(OR(C87="Governed Operations Zone",C87="Autonomous Operations Zone"),E87&gt;=3,MIN(L87:N87)&lt;=1),"R2 mandatory control "&amp;INDEX($L$4:$N$4,1,MATCH(MIN(L87:N87),L87:N87,0))&amp;"="&amp;MIN(L87:N87)&amp;"; ","")&amp;IF(AND(OR(C87="Governed Operations Zone",C87="Autonomous Operations Zone"),S87&lt;4),"R3 evidence tier "&amp;S87&amp;"&lt;4; ","")))</f>
        <v/>
      </c>
      <c r="AH87" s="14" t="str">
        <f aca="false">IF($A87="","",IF(MIN(IF(X87="Critical Orbit",1,IF(X87="Unstable Orbit",2,IF(X87="Edge Orbit",3,IF(X87="Controlled Orbit",4,5)))),IF(AF87="None",9,IF(AF87="Critical Orbit",1,IF(AF87="Unstable Orbit",2,IF(AF87="Edge Orbit",3,IF(AF87="Controlled Orbit",4,5))))))=1,"Critical Orbit",IF(MIN(IF(X87="Critical Orbit",1,IF(X87="Unstable Orbit",2,IF(X87="Edge Orbit",3,IF(X87="Controlled Orbit",4,5)))),IF(AF87="None",9,IF(AF87="Critical Orbit",1,IF(AF87="Unstable Orbit",2,IF(AF87="Edge Orbit",3,IF(AF87="Controlled Orbit",4,5))))))=2,"Unstable Orbit",IF(MIN(IF(X87="Critical Orbit",1,IF(X87="Unstable Orbit",2,IF(X87="Edge Orbit",3,IF(X87="Controlled Orbit",4,5)))),IF(AF87="None",9,IF(AF87="Critical Orbit",1,IF(AF87="Unstable Orbit",2,IF(AF87="Edge Orbit",3,IF(AF87="Controlled Orbit",4,5))))))=3,"Edge Orbit",IF(MIN(IF(X87="Critical Orbit",1,IF(X87="Unstable Orbit",2,IF(X87="Edge Orbit",3,IF(X87="Controlled Orbit",4,5)))),IF(AF87="None",9,IF(AF87="Critical Orbit",1,IF(AF87="Unstable Orbit",2,IF(AF87="Edge Orbit",3,IF(AF87="Controlled Orbit",4,5))))))=4,"Controlled Orbit","Stable Orbit")))))</f>
        <v/>
      </c>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12" t="str">
        <f aca="false">IF($A88="","",IF(AND(MAX(L88:R88)&gt;3,S88&lt;3),"Warning: EGI &gt;3 needs Tier 3+ evidence",IF(AND(C88="Autonomous Operations Zone",S88&lt;4),"Warning: Autonomous zone needs Tier 4 evidence","OK")))</f>
        <v/>
      </c>
      <c r="U88" s="10" t="str">
        <f aca="false">IF($A88="","",IF($D88="Basic",SUM(E88:K88)/35*100,SUMPRODUCT(E88:K88,INDEX('Weighted Scoring'!$B$5:$H$13,MATCH($B88,'Weighted Scoring'!$A$5:$A$13,0),0))/SUMPRODUCT(5,INDEX('Weighted Scoring'!$B$5:$H$13,MATCH($B88,'Weighted Scoring'!$A$5:$A$13,0),0))*100))</f>
        <v/>
      </c>
      <c r="V88" s="10" t="str">
        <f aca="false">IF($A88="","",IF($D88="Basic",SUM(L88:R88)/35*100,SUMPRODUCT(L88:R88,INDEX('Weighted Scoring'!$I$5:$O$13,MATCH($B88,'Weighted Scoring'!$A$5:$A$13,0),0))/SUMPRODUCT(5,INDEX('Weighted Scoring'!$I$5:$O$13,MATCH($B88,'Weighted Scoring'!$A$5:$A$13,0),0))*100))</f>
        <v/>
      </c>
      <c r="W88" s="10" t="str">
        <f aca="false">IF($A88="","",V88-U88)</f>
        <v/>
      </c>
      <c r="X88" s="12" t="str">
        <f aca="false">IF($A88="","",IF(W88&gt;=40,"Stable Orbit",IF(W88&gt;=15,"Controlled Orbit",IF(W88&gt;=-14,"Edge Orbit",IF(W88&gt;=-39,"Unstable Orbit","Critical Orbit")))))</f>
        <v/>
      </c>
      <c r="Y88" s="12" t="str">
        <f aca="false">IF($A88="","",INDEX('Deployment Gates'!$C$5:$C$9,MATCH(AH88,'Deployment Gates'!$A$5:$A$9,0)))</f>
        <v/>
      </c>
      <c r="Z88" s="3"/>
      <c r="AA88" s="12" t="str">
        <f aca="false">IF($A88="","",IF(OR(AH88="Edge Orbit",AH88="Unstable Orbit",AH88="Critical Orbit",H88&gt;=4,G88&gt;=4,E88&gt;=4,J88&gt;=4),"Yes","No"))</f>
        <v/>
      </c>
      <c r="AB88" s="12" t="str">
        <f aca="false">IF($A88="","",IF(W88&lt;0,"Yes","No"))</f>
        <v/>
      </c>
      <c r="AC88" s="12" t="str">
        <f aca="false">IF($A88="","",INDEX($L$4:$R$4,1,MATCH(MIN(L88:R88),L88:R88,0))&amp;IF(COUNTIF(L88:R88,MIN(L88:R88))&gt;1," (+"&amp;(COUNTIF(L88:R88,MIN(L88:R88))-1)&amp;" tied)",""))</f>
        <v/>
      </c>
      <c r="AD88" s="12" t="str">
        <f aca="false">IF($A88="","",INDEX($E$4:$K$4,1,MATCH(MAX(E88:K88),E88:K88,0))&amp;IF(COUNTIF(E88:K88,MAX(E88:K88))&gt;1," (+"&amp;(COUNTIF(E88:K88,MAX(E88:K88))-1)&amp;" tied)",""))</f>
        <v/>
      </c>
      <c r="AE88" s="12" t="str">
        <f aca="false">IF($A88="","",INDEX('Control Uplift Planner'!$B$5:$B$11,MATCH(INDEX($L$4:$R$4,1,MATCH(MIN(L88:R88),L88:R88,0)),'Control Uplift Planner'!$A$5:$A$11,0)))</f>
        <v/>
      </c>
      <c r="AF88" s="13" t="str">
        <f aca="false">IF($A88="","",IF(MIN(IF(AND(E88&gt;=4,H88&gt;=4),3,9),IF(AND(OR(C88="Governed Operations Zone",C88="Autonomous Operations Zone"),E88&gt;=3),IF(MIN(L88:N88)=0,2,IF(MIN(L88:N88)=1,3,9)),9),IF(AND(OR(C88="Governed Operations Zone",C88="Autonomous Operations Zone"),S88&lt;4),3,9))=9,"None",IF(MIN(IF(AND(E88&gt;=4,H88&gt;=4),3,9),IF(AND(OR(C88="Governed Operations Zone",C88="Autonomous Operations Zone"),E88&gt;=3),IF(MIN(L88:N88)=0,2,IF(MIN(L88:N88)=1,3,9)),9),IF(AND(OR(C88="Governed Operations Zone",C88="Autonomous Operations Zone"),S88&lt;4),3,9))=1,"Critical Orbit",IF(MIN(IF(AND(E88&gt;=4,H88&gt;=4),3,9),IF(AND(OR(C88="Governed Operations Zone",C88="Autonomous Operations Zone"),E88&gt;=3),IF(MIN(L88:N88)=0,2,IF(MIN(L88:N88)=1,3,9)),9),IF(AND(OR(C88="Governed Operations Zone",C88="Autonomous Operations Zone"),S88&lt;4),3,9))=2,"Unstable Orbit","Edge Orbit"))))</f>
        <v/>
      </c>
      <c r="AG88" s="14" t="str">
        <f aca="false">IF($A88="","",IF(IF(AND(E88&gt;=4,H88&gt;=4),"R1 concentrated force; ","")&amp;IF(AND(OR(C88="Governed Operations Zone",C88="Autonomous Operations Zone"),E88&gt;=3,MIN(L88:N88)&lt;=1),"R2 mandatory control "&amp;INDEX($L$4:$N$4,1,MATCH(MIN(L88:N88),L88:N88,0))&amp;"="&amp;MIN(L88:N88)&amp;"; ","")&amp;IF(AND(OR(C88="Governed Operations Zone",C88="Autonomous Operations Zone"),S88&lt;4),"R3 evidence tier "&amp;S88&amp;"&lt;4; ","")="","-",IF(AND(E88&gt;=4,H88&gt;=4),"R1 concentrated force; ","")&amp;IF(AND(OR(C88="Governed Operations Zone",C88="Autonomous Operations Zone"),E88&gt;=3,MIN(L88:N88)&lt;=1),"R2 mandatory control "&amp;INDEX($L$4:$N$4,1,MATCH(MIN(L88:N88),L88:N88,0))&amp;"="&amp;MIN(L88:N88)&amp;"; ","")&amp;IF(AND(OR(C88="Governed Operations Zone",C88="Autonomous Operations Zone"),S88&lt;4),"R3 evidence tier "&amp;S88&amp;"&lt;4; ","")))</f>
        <v/>
      </c>
      <c r="AH88" s="14" t="str">
        <f aca="false">IF($A88="","",IF(MIN(IF(X88="Critical Orbit",1,IF(X88="Unstable Orbit",2,IF(X88="Edge Orbit",3,IF(X88="Controlled Orbit",4,5)))),IF(AF88="None",9,IF(AF88="Critical Orbit",1,IF(AF88="Unstable Orbit",2,IF(AF88="Edge Orbit",3,IF(AF88="Controlled Orbit",4,5))))))=1,"Critical Orbit",IF(MIN(IF(X88="Critical Orbit",1,IF(X88="Unstable Orbit",2,IF(X88="Edge Orbit",3,IF(X88="Controlled Orbit",4,5)))),IF(AF88="None",9,IF(AF88="Critical Orbit",1,IF(AF88="Unstable Orbit",2,IF(AF88="Edge Orbit",3,IF(AF88="Controlled Orbit",4,5))))))=2,"Unstable Orbit",IF(MIN(IF(X88="Critical Orbit",1,IF(X88="Unstable Orbit",2,IF(X88="Edge Orbit",3,IF(X88="Controlled Orbit",4,5)))),IF(AF88="None",9,IF(AF88="Critical Orbit",1,IF(AF88="Unstable Orbit",2,IF(AF88="Edge Orbit",3,IF(AF88="Controlled Orbit",4,5))))))=3,"Edge Orbit",IF(MIN(IF(X88="Critical Orbit",1,IF(X88="Unstable Orbit",2,IF(X88="Edge Orbit",3,IF(X88="Controlled Orbit",4,5)))),IF(AF88="None",9,IF(AF88="Critical Orbit",1,IF(AF88="Unstable Orbit",2,IF(AF88="Edge Orbit",3,IF(AF88="Controlled Orbit",4,5))))))=4,"Controlled Orbit","Stable Orbit")))))</f>
        <v/>
      </c>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12" t="str">
        <f aca="false">IF($A89="","",IF(AND(MAX(L89:R89)&gt;3,S89&lt;3),"Warning: EGI &gt;3 needs Tier 3+ evidence",IF(AND(C89="Autonomous Operations Zone",S89&lt;4),"Warning: Autonomous zone needs Tier 4 evidence","OK")))</f>
        <v/>
      </c>
      <c r="U89" s="10" t="str">
        <f aca="false">IF($A89="","",IF($D89="Basic",SUM(E89:K89)/35*100,SUMPRODUCT(E89:K89,INDEX('Weighted Scoring'!$B$5:$H$13,MATCH($B89,'Weighted Scoring'!$A$5:$A$13,0),0))/SUMPRODUCT(5,INDEX('Weighted Scoring'!$B$5:$H$13,MATCH($B89,'Weighted Scoring'!$A$5:$A$13,0),0))*100))</f>
        <v/>
      </c>
      <c r="V89" s="10" t="str">
        <f aca="false">IF($A89="","",IF($D89="Basic",SUM(L89:R89)/35*100,SUMPRODUCT(L89:R89,INDEX('Weighted Scoring'!$I$5:$O$13,MATCH($B89,'Weighted Scoring'!$A$5:$A$13,0),0))/SUMPRODUCT(5,INDEX('Weighted Scoring'!$I$5:$O$13,MATCH($B89,'Weighted Scoring'!$A$5:$A$13,0),0))*100))</f>
        <v/>
      </c>
      <c r="W89" s="10" t="str">
        <f aca="false">IF($A89="","",V89-U89)</f>
        <v/>
      </c>
      <c r="X89" s="12" t="str">
        <f aca="false">IF($A89="","",IF(W89&gt;=40,"Stable Orbit",IF(W89&gt;=15,"Controlled Orbit",IF(W89&gt;=-14,"Edge Orbit",IF(W89&gt;=-39,"Unstable Orbit","Critical Orbit")))))</f>
        <v/>
      </c>
      <c r="Y89" s="12" t="str">
        <f aca="false">IF($A89="","",INDEX('Deployment Gates'!$C$5:$C$9,MATCH(AH89,'Deployment Gates'!$A$5:$A$9,0)))</f>
        <v/>
      </c>
      <c r="Z89" s="3"/>
      <c r="AA89" s="12" t="str">
        <f aca="false">IF($A89="","",IF(OR(AH89="Edge Orbit",AH89="Unstable Orbit",AH89="Critical Orbit",H89&gt;=4,G89&gt;=4,E89&gt;=4,J89&gt;=4),"Yes","No"))</f>
        <v/>
      </c>
      <c r="AB89" s="12" t="str">
        <f aca="false">IF($A89="","",IF(W89&lt;0,"Yes","No"))</f>
        <v/>
      </c>
      <c r="AC89" s="12" t="str">
        <f aca="false">IF($A89="","",INDEX($L$4:$R$4,1,MATCH(MIN(L89:R89),L89:R89,0))&amp;IF(COUNTIF(L89:R89,MIN(L89:R89))&gt;1," (+"&amp;(COUNTIF(L89:R89,MIN(L89:R89))-1)&amp;" tied)",""))</f>
        <v/>
      </c>
      <c r="AD89" s="12" t="str">
        <f aca="false">IF($A89="","",INDEX($E$4:$K$4,1,MATCH(MAX(E89:K89),E89:K89,0))&amp;IF(COUNTIF(E89:K89,MAX(E89:K89))&gt;1," (+"&amp;(COUNTIF(E89:K89,MAX(E89:K89))-1)&amp;" tied)",""))</f>
        <v/>
      </c>
      <c r="AE89" s="12" t="str">
        <f aca="false">IF($A89="","",INDEX('Control Uplift Planner'!$B$5:$B$11,MATCH(INDEX($L$4:$R$4,1,MATCH(MIN(L89:R89),L89:R89,0)),'Control Uplift Planner'!$A$5:$A$11,0)))</f>
        <v/>
      </c>
      <c r="AF89" s="13" t="str">
        <f aca="false">IF($A89="","",IF(MIN(IF(AND(E89&gt;=4,H89&gt;=4),3,9),IF(AND(OR(C89="Governed Operations Zone",C89="Autonomous Operations Zone"),E89&gt;=3),IF(MIN(L89:N89)=0,2,IF(MIN(L89:N89)=1,3,9)),9),IF(AND(OR(C89="Governed Operations Zone",C89="Autonomous Operations Zone"),S89&lt;4),3,9))=9,"None",IF(MIN(IF(AND(E89&gt;=4,H89&gt;=4),3,9),IF(AND(OR(C89="Governed Operations Zone",C89="Autonomous Operations Zone"),E89&gt;=3),IF(MIN(L89:N89)=0,2,IF(MIN(L89:N89)=1,3,9)),9),IF(AND(OR(C89="Governed Operations Zone",C89="Autonomous Operations Zone"),S89&lt;4),3,9))=1,"Critical Orbit",IF(MIN(IF(AND(E89&gt;=4,H89&gt;=4),3,9),IF(AND(OR(C89="Governed Operations Zone",C89="Autonomous Operations Zone"),E89&gt;=3),IF(MIN(L89:N89)=0,2,IF(MIN(L89:N89)=1,3,9)),9),IF(AND(OR(C89="Governed Operations Zone",C89="Autonomous Operations Zone"),S89&lt;4),3,9))=2,"Unstable Orbit","Edge Orbit"))))</f>
        <v/>
      </c>
      <c r="AG89" s="14" t="str">
        <f aca="false">IF($A89="","",IF(IF(AND(E89&gt;=4,H89&gt;=4),"R1 concentrated force; ","")&amp;IF(AND(OR(C89="Governed Operations Zone",C89="Autonomous Operations Zone"),E89&gt;=3,MIN(L89:N89)&lt;=1),"R2 mandatory control "&amp;INDEX($L$4:$N$4,1,MATCH(MIN(L89:N89),L89:N89,0))&amp;"="&amp;MIN(L89:N89)&amp;"; ","")&amp;IF(AND(OR(C89="Governed Operations Zone",C89="Autonomous Operations Zone"),S89&lt;4),"R3 evidence tier "&amp;S89&amp;"&lt;4; ","")="","-",IF(AND(E89&gt;=4,H89&gt;=4),"R1 concentrated force; ","")&amp;IF(AND(OR(C89="Governed Operations Zone",C89="Autonomous Operations Zone"),E89&gt;=3,MIN(L89:N89)&lt;=1),"R2 mandatory control "&amp;INDEX($L$4:$N$4,1,MATCH(MIN(L89:N89),L89:N89,0))&amp;"="&amp;MIN(L89:N89)&amp;"; ","")&amp;IF(AND(OR(C89="Governed Operations Zone",C89="Autonomous Operations Zone"),S89&lt;4),"R3 evidence tier "&amp;S89&amp;"&lt;4; ","")))</f>
        <v/>
      </c>
      <c r="AH89" s="14" t="str">
        <f aca="false">IF($A89="","",IF(MIN(IF(X89="Critical Orbit",1,IF(X89="Unstable Orbit",2,IF(X89="Edge Orbit",3,IF(X89="Controlled Orbit",4,5)))),IF(AF89="None",9,IF(AF89="Critical Orbit",1,IF(AF89="Unstable Orbit",2,IF(AF89="Edge Orbit",3,IF(AF89="Controlled Orbit",4,5))))))=1,"Critical Orbit",IF(MIN(IF(X89="Critical Orbit",1,IF(X89="Unstable Orbit",2,IF(X89="Edge Orbit",3,IF(X89="Controlled Orbit",4,5)))),IF(AF89="None",9,IF(AF89="Critical Orbit",1,IF(AF89="Unstable Orbit",2,IF(AF89="Edge Orbit",3,IF(AF89="Controlled Orbit",4,5))))))=2,"Unstable Orbit",IF(MIN(IF(X89="Critical Orbit",1,IF(X89="Unstable Orbit",2,IF(X89="Edge Orbit",3,IF(X89="Controlled Orbit",4,5)))),IF(AF89="None",9,IF(AF89="Critical Orbit",1,IF(AF89="Unstable Orbit",2,IF(AF89="Edge Orbit",3,IF(AF89="Controlled Orbit",4,5))))))=3,"Edge Orbit",IF(MIN(IF(X89="Critical Orbit",1,IF(X89="Unstable Orbit",2,IF(X89="Edge Orbit",3,IF(X89="Controlled Orbit",4,5)))),IF(AF89="None",9,IF(AF89="Critical Orbit",1,IF(AF89="Unstable Orbit",2,IF(AF89="Edge Orbit",3,IF(AF89="Controlled Orbit",4,5))))))=4,"Controlled Orbit","Stable Orbit")))))</f>
        <v/>
      </c>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12" t="str">
        <f aca="false">IF($A90="","",IF(AND(MAX(L90:R90)&gt;3,S90&lt;3),"Warning: EGI &gt;3 needs Tier 3+ evidence",IF(AND(C90="Autonomous Operations Zone",S90&lt;4),"Warning: Autonomous zone needs Tier 4 evidence","OK")))</f>
        <v/>
      </c>
      <c r="U90" s="10" t="str">
        <f aca="false">IF($A90="","",IF($D90="Basic",SUM(E90:K90)/35*100,SUMPRODUCT(E90:K90,INDEX('Weighted Scoring'!$B$5:$H$13,MATCH($B90,'Weighted Scoring'!$A$5:$A$13,0),0))/SUMPRODUCT(5,INDEX('Weighted Scoring'!$B$5:$H$13,MATCH($B90,'Weighted Scoring'!$A$5:$A$13,0),0))*100))</f>
        <v/>
      </c>
      <c r="V90" s="10" t="str">
        <f aca="false">IF($A90="","",IF($D90="Basic",SUM(L90:R90)/35*100,SUMPRODUCT(L90:R90,INDEX('Weighted Scoring'!$I$5:$O$13,MATCH($B90,'Weighted Scoring'!$A$5:$A$13,0),0))/SUMPRODUCT(5,INDEX('Weighted Scoring'!$I$5:$O$13,MATCH($B90,'Weighted Scoring'!$A$5:$A$13,0),0))*100))</f>
        <v/>
      </c>
      <c r="W90" s="10" t="str">
        <f aca="false">IF($A90="","",V90-U90)</f>
        <v/>
      </c>
      <c r="X90" s="12" t="str">
        <f aca="false">IF($A90="","",IF(W90&gt;=40,"Stable Orbit",IF(W90&gt;=15,"Controlled Orbit",IF(W90&gt;=-14,"Edge Orbit",IF(W90&gt;=-39,"Unstable Orbit","Critical Orbit")))))</f>
        <v/>
      </c>
      <c r="Y90" s="12" t="str">
        <f aca="false">IF($A90="","",INDEX('Deployment Gates'!$C$5:$C$9,MATCH(AH90,'Deployment Gates'!$A$5:$A$9,0)))</f>
        <v/>
      </c>
      <c r="Z90" s="3"/>
      <c r="AA90" s="12" t="str">
        <f aca="false">IF($A90="","",IF(OR(AH90="Edge Orbit",AH90="Unstable Orbit",AH90="Critical Orbit",H90&gt;=4,G90&gt;=4,E90&gt;=4,J90&gt;=4),"Yes","No"))</f>
        <v/>
      </c>
      <c r="AB90" s="12" t="str">
        <f aca="false">IF($A90="","",IF(W90&lt;0,"Yes","No"))</f>
        <v/>
      </c>
      <c r="AC90" s="12" t="str">
        <f aca="false">IF($A90="","",INDEX($L$4:$R$4,1,MATCH(MIN(L90:R90),L90:R90,0))&amp;IF(COUNTIF(L90:R90,MIN(L90:R90))&gt;1," (+"&amp;(COUNTIF(L90:R90,MIN(L90:R90))-1)&amp;" tied)",""))</f>
        <v/>
      </c>
      <c r="AD90" s="12" t="str">
        <f aca="false">IF($A90="","",INDEX($E$4:$K$4,1,MATCH(MAX(E90:K90),E90:K90,0))&amp;IF(COUNTIF(E90:K90,MAX(E90:K90))&gt;1," (+"&amp;(COUNTIF(E90:K90,MAX(E90:K90))-1)&amp;" tied)",""))</f>
        <v/>
      </c>
      <c r="AE90" s="12" t="str">
        <f aca="false">IF($A90="","",INDEX('Control Uplift Planner'!$B$5:$B$11,MATCH(INDEX($L$4:$R$4,1,MATCH(MIN(L90:R90),L90:R90,0)),'Control Uplift Planner'!$A$5:$A$11,0)))</f>
        <v/>
      </c>
      <c r="AF90" s="13" t="str">
        <f aca="false">IF($A90="","",IF(MIN(IF(AND(E90&gt;=4,H90&gt;=4),3,9),IF(AND(OR(C90="Governed Operations Zone",C90="Autonomous Operations Zone"),E90&gt;=3),IF(MIN(L90:N90)=0,2,IF(MIN(L90:N90)=1,3,9)),9),IF(AND(OR(C90="Governed Operations Zone",C90="Autonomous Operations Zone"),S90&lt;4),3,9))=9,"None",IF(MIN(IF(AND(E90&gt;=4,H90&gt;=4),3,9),IF(AND(OR(C90="Governed Operations Zone",C90="Autonomous Operations Zone"),E90&gt;=3),IF(MIN(L90:N90)=0,2,IF(MIN(L90:N90)=1,3,9)),9),IF(AND(OR(C90="Governed Operations Zone",C90="Autonomous Operations Zone"),S90&lt;4),3,9))=1,"Critical Orbit",IF(MIN(IF(AND(E90&gt;=4,H90&gt;=4),3,9),IF(AND(OR(C90="Governed Operations Zone",C90="Autonomous Operations Zone"),E90&gt;=3),IF(MIN(L90:N90)=0,2,IF(MIN(L90:N90)=1,3,9)),9),IF(AND(OR(C90="Governed Operations Zone",C90="Autonomous Operations Zone"),S90&lt;4),3,9))=2,"Unstable Orbit","Edge Orbit"))))</f>
        <v/>
      </c>
      <c r="AG90" s="14" t="str">
        <f aca="false">IF($A90="","",IF(IF(AND(E90&gt;=4,H90&gt;=4),"R1 concentrated force; ","")&amp;IF(AND(OR(C90="Governed Operations Zone",C90="Autonomous Operations Zone"),E90&gt;=3,MIN(L90:N90)&lt;=1),"R2 mandatory control "&amp;INDEX($L$4:$N$4,1,MATCH(MIN(L90:N90),L90:N90,0))&amp;"="&amp;MIN(L90:N90)&amp;"; ","")&amp;IF(AND(OR(C90="Governed Operations Zone",C90="Autonomous Operations Zone"),S90&lt;4),"R3 evidence tier "&amp;S90&amp;"&lt;4; ","")="","-",IF(AND(E90&gt;=4,H90&gt;=4),"R1 concentrated force; ","")&amp;IF(AND(OR(C90="Governed Operations Zone",C90="Autonomous Operations Zone"),E90&gt;=3,MIN(L90:N90)&lt;=1),"R2 mandatory control "&amp;INDEX($L$4:$N$4,1,MATCH(MIN(L90:N90),L90:N90,0))&amp;"="&amp;MIN(L90:N90)&amp;"; ","")&amp;IF(AND(OR(C90="Governed Operations Zone",C90="Autonomous Operations Zone"),S90&lt;4),"R3 evidence tier "&amp;S90&amp;"&lt;4; ","")))</f>
        <v/>
      </c>
      <c r="AH90" s="14" t="str">
        <f aca="false">IF($A90="","",IF(MIN(IF(X90="Critical Orbit",1,IF(X90="Unstable Orbit",2,IF(X90="Edge Orbit",3,IF(X90="Controlled Orbit",4,5)))),IF(AF90="None",9,IF(AF90="Critical Orbit",1,IF(AF90="Unstable Orbit",2,IF(AF90="Edge Orbit",3,IF(AF90="Controlled Orbit",4,5))))))=1,"Critical Orbit",IF(MIN(IF(X90="Critical Orbit",1,IF(X90="Unstable Orbit",2,IF(X90="Edge Orbit",3,IF(X90="Controlled Orbit",4,5)))),IF(AF90="None",9,IF(AF90="Critical Orbit",1,IF(AF90="Unstable Orbit",2,IF(AF90="Edge Orbit",3,IF(AF90="Controlled Orbit",4,5))))))=2,"Unstable Orbit",IF(MIN(IF(X90="Critical Orbit",1,IF(X90="Unstable Orbit",2,IF(X90="Edge Orbit",3,IF(X90="Controlled Orbit",4,5)))),IF(AF90="None",9,IF(AF90="Critical Orbit",1,IF(AF90="Unstable Orbit",2,IF(AF90="Edge Orbit",3,IF(AF90="Controlled Orbit",4,5))))))=3,"Edge Orbit",IF(MIN(IF(X90="Critical Orbit",1,IF(X90="Unstable Orbit",2,IF(X90="Edge Orbit",3,IF(X90="Controlled Orbit",4,5)))),IF(AF90="None",9,IF(AF90="Critical Orbit",1,IF(AF90="Unstable Orbit",2,IF(AF90="Edge Orbit",3,IF(AF90="Controlled Orbit",4,5))))))=4,"Controlled Orbit","Stable Orbit")))))</f>
        <v/>
      </c>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12" t="str">
        <f aca="false">IF($A91="","",IF(AND(MAX(L91:R91)&gt;3,S91&lt;3),"Warning: EGI &gt;3 needs Tier 3+ evidence",IF(AND(C91="Autonomous Operations Zone",S91&lt;4),"Warning: Autonomous zone needs Tier 4 evidence","OK")))</f>
        <v/>
      </c>
      <c r="U91" s="10" t="str">
        <f aca="false">IF($A91="","",IF($D91="Basic",SUM(E91:K91)/35*100,SUMPRODUCT(E91:K91,INDEX('Weighted Scoring'!$B$5:$H$13,MATCH($B91,'Weighted Scoring'!$A$5:$A$13,0),0))/SUMPRODUCT(5,INDEX('Weighted Scoring'!$B$5:$H$13,MATCH($B91,'Weighted Scoring'!$A$5:$A$13,0),0))*100))</f>
        <v/>
      </c>
      <c r="V91" s="10" t="str">
        <f aca="false">IF($A91="","",IF($D91="Basic",SUM(L91:R91)/35*100,SUMPRODUCT(L91:R91,INDEX('Weighted Scoring'!$I$5:$O$13,MATCH($B91,'Weighted Scoring'!$A$5:$A$13,0),0))/SUMPRODUCT(5,INDEX('Weighted Scoring'!$I$5:$O$13,MATCH($B91,'Weighted Scoring'!$A$5:$A$13,0),0))*100))</f>
        <v/>
      </c>
      <c r="W91" s="10" t="str">
        <f aca="false">IF($A91="","",V91-U91)</f>
        <v/>
      </c>
      <c r="X91" s="12" t="str">
        <f aca="false">IF($A91="","",IF(W91&gt;=40,"Stable Orbit",IF(W91&gt;=15,"Controlled Orbit",IF(W91&gt;=-14,"Edge Orbit",IF(W91&gt;=-39,"Unstable Orbit","Critical Orbit")))))</f>
        <v/>
      </c>
      <c r="Y91" s="12" t="str">
        <f aca="false">IF($A91="","",INDEX('Deployment Gates'!$C$5:$C$9,MATCH(AH91,'Deployment Gates'!$A$5:$A$9,0)))</f>
        <v/>
      </c>
      <c r="Z91" s="3"/>
      <c r="AA91" s="12" t="str">
        <f aca="false">IF($A91="","",IF(OR(AH91="Edge Orbit",AH91="Unstable Orbit",AH91="Critical Orbit",H91&gt;=4,G91&gt;=4,E91&gt;=4,J91&gt;=4),"Yes","No"))</f>
        <v/>
      </c>
      <c r="AB91" s="12" t="str">
        <f aca="false">IF($A91="","",IF(W91&lt;0,"Yes","No"))</f>
        <v/>
      </c>
      <c r="AC91" s="12" t="str">
        <f aca="false">IF($A91="","",INDEX($L$4:$R$4,1,MATCH(MIN(L91:R91),L91:R91,0))&amp;IF(COUNTIF(L91:R91,MIN(L91:R91))&gt;1," (+"&amp;(COUNTIF(L91:R91,MIN(L91:R91))-1)&amp;" tied)",""))</f>
        <v/>
      </c>
      <c r="AD91" s="12" t="str">
        <f aca="false">IF($A91="","",INDEX($E$4:$K$4,1,MATCH(MAX(E91:K91),E91:K91,0))&amp;IF(COUNTIF(E91:K91,MAX(E91:K91))&gt;1," (+"&amp;(COUNTIF(E91:K91,MAX(E91:K91))-1)&amp;" tied)",""))</f>
        <v/>
      </c>
      <c r="AE91" s="12" t="str">
        <f aca="false">IF($A91="","",INDEX('Control Uplift Planner'!$B$5:$B$11,MATCH(INDEX($L$4:$R$4,1,MATCH(MIN(L91:R91),L91:R91,0)),'Control Uplift Planner'!$A$5:$A$11,0)))</f>
        <v/>
      </c>
      <c r="AF91" s="13" t="str">
        <f aca="false">IF($A91="","",IF(MIN(IF(AND(E91&gt;=4,H91&gt;=4),3,9),IF(AND(OR(C91="Governed Operations Zone",C91="Autonomous Operations Zone"),E91&gt;=3),IF(MIN(L91:N91)=0,2,IF(MIN(L91:N91)=1,3,9)),9),IF(AND(OR(C91="Governed Operations Zone",C91="Autonomous Operations Zone"),S91&lt;4),3,9))=9,"None",IF(MIN(IF(AND(E91&gt;=4,H91&gt;=4),3,9),IF(AND(OR(C91="Governed Operations Zone",C91="Autonomous Operations Zone"),E91&gt;=3),IF(MIN(L91:N91)=0,2,IF(MIN(L91:N91)=1,3,9)),9),IF(AND(OR(C91="Governed Operations Zone",C91="Autonomous Operations Zone"),S91&lt;4),3,9))=1,"Critical Orbit",IF(MIN(IF(AND(E91&gt;=4,H91&gt;=4),3,9),IF(AND(OR(C91="Governed Operations Zone",C91="Autonomous Operations Zone"),E91&gt;=3),IF(MIN(L91:N91)=0,2,IF(MIN(L91:N91)=1,3,9)),9),IF(AND(OR(C91="Governed Operations Zone",C91="Autonomous Operations Zone"),S91&lt;4),3,9))=2,"Unstable Orbit","Edge Orbit"))))</f>
        <v/>
      </c>
      <c r="AG91" s="14" t="str">
        <f aca="false">IF($A91="","",IF(IF(AND(E91&gt;=4,H91&gt;=4),"R1 concentrated force; ","")&amp;IF(AND(OR(C91="Governed Operations Zone",C91="Autonomous Operations Zone"),E91&gt;=3,MIN(L91:N91)&lt;=1),"R2 mandatory control "&amp;INDEX($L$4:$N$4,1,MATCH(MIN(L91:N91),L91:N91,0))&amp;"="&amp;MIN(L91:N91)&amp;"; ","")&amp;IF(AND(OR(C91="Governed Operations Zone",C91="Autonomous Operations Zone"),S91&lt;4),"R3 evidence tier "&amp;S91&amp;"&lt;4; ","")="","-",IF(AND(E91&gt;=4,H91&gt;=4),"R1 concentrated force; ","")&amp;IF(AND(OR(C91="Governed Operations Zone",C91="Autonomous Operations Zone"),E91&gt;=3,MIN(L91:N91)&lt;=1),"R2 mandatory control "&amp;INDEX($L$4:$N$4,1,MATCH(MIN(L91:N91),L91:N91,0))&amp;"="&amp;MIN(L91:N91)&amp;"; ","")&amp;IF(AND(OR(C91="Governed Operations Zone",C91="Autonomous Operations Zone"),S91&lt;4),"R3 evidence tier "&amp;S91&amp;"&lt;4; ","")))</f>
        <v/>
      </c>
      <c r="AH91" s="14" t="str">
        <f aca="false">IF($A91="","",IF(MIN(IF(X91="Critical Orbit",1,IF(X91="Unstable Orbit",2,IF(X91="Edge Orbit",3,IF(X91="Controlled Orbit",4,5)))),IF(AF91="None",9,IF(AF91="Critical Orbit",1,IF(AF91="Unstable Orbit",2,IF(AF91="Edge Orbit",3,IF(AF91="Controlled Orbit",4,5))))))=1,"Critical Orbit",IF(MIN(IF(X91="Critical Orbit",1,IF(X91="Unstable Orbit",2,IF(X91="Edge Orbit",3,IF(X91="Controlled Orbit",4,5)))),IF(AF91="None",9,IF(AF91="Critical Orbit",1,IF(AF91="Unstable Orbit",2,IF(AF91="Edge Orbit",3,IF(AF91="Controlled Orbit",4,5))))))=2,"Unstable Orbit",IF(MIN(IF(X91="Critical Orbit",1,IF(X91="Unstable Orbit",2,IF(X91="Edge Orbit",3,IF(X91="Controlled Orbit",4,5)))),IF(AF91="None",9,IF(AF91="Critical Orbit",1,IF(AF91="Unstable Orbit",2,IF(AF91="Edge Orbit",3,IF(AF91="Controlled Orbit",4,5))))))=3,"Edge Orbit",IF(MIN(IF(X91="Critical Orbit",1,IF(X91="Unstable Orbit",2,IF(X91="Edge Orbit",3,IF(X91="Controlled Orbit",4,5)))),IF(AF91="None",9,IF(AF91="Critical Orbit",1,IF(AF91="Unstable Orbit",2,IF(AF91="Edge Orbit",3,IF(AF91="Controlled Orbit",4,5))))))=4,"Controlled Orbit","Stable Orbit")))))</f>
        <v/>
      </c>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12" t="str">
        <f aca="false">IF($A92="","",IF(AND(MAX(L92:R92)&gt;3,S92&lt;3),"Warning: EGI &gt;3 needs Tier 3+ evidence",IF(AND(C92="Autonomous Operations Zone",S92&lt;4),"Warning: Autonomous zone needs Tier 4 evidence","OK")))</f>
        <v/>
      </c>
      <c r="U92" s="10" t="str">
        <f aca="false">IF($A92="","",IF($D92="Basic",SUM(E92:K92)/35*100,SUMPRODUCT(E92:K92,INDEX('Weighted Scoring'!$B$5:$H$13,MATCH($B92,'Weighted Scoring'!$A$5:$A$13,0),0))/SUMPRODUCT(5,INDEX('Weighted Scoring'!$B$5:$H$13,MATCH($B92,'Weighted Scoring'!$A$5:$A$13,0),0))*100))</f>
        <v/>
      </c>
      <c r="V92" s="10" t="str">
        <f aca="false">IF($A92="","",IF($D92="Basic",SUM(L92:R92)/35*100,SUMPRODUCT(L92:R92,INDEX('Weighted Scoring'!$I$5:$O$13,MATCH($B92,'Weighted Scoring'!$A$5:$A$13,0),0))/SUMPRODUCT(5,INDEX('Weighted Scoring'!$I$5:$O$13,MATCH($B92,'Weighted Scoring'!$A$5:$A$13,0),0))*100))</f>
        <v/>
      </c>
      <c r="W92" s="10" t="str">
        <f aca="false">IF($A92="","",V92-U92)</f>
        <v/>
      </c>
      <c r="X92" s="12" t="str">
        <f aca="false">IF($A92="","",IF(W92&gt;=40,"Stable Orbit",IF(W92&gt;=15,"Controlled Orbit",IF(W92&gt;=-14,"Edge Orbit",IF(W92&gt;=-39,"Unstable Orbit","Critical Orbit")))))</f>
        <v/>
      </c>
      <c r="Y92" s="12" t="str">
        <f aca="false">IF($A92="","",INDEX('Deployment Gates'!$C$5:$C$9,MATCH(AH92,'Deployment Gates'!$A$5:$A$9,0)))</f>
        <v/>
      </c>
      <c r="Z92" s="3"/>
      <c r="AA92" s="12" t="str">
        <f aca="false">IF($A92="","",IF(OR(AH92="Edge Orbit",AH92="Unstable Orbit",AH92="Critical Orbit",H92&gt;=4,G92&gt;=4,E92&gt;=4,J92&gt;=4),"Yes","No"))</f>
        <v/>
      </c>
      <c r="AB92" s="12" t="str">
        <f aca="false">IF($A92="","",IF(W92&lt;0,"Yes","No"))</f>
        <v/>
      </c>
      <c r="AC92" s="12" t="str">
        <f aca="false">IF($A92="","",INDEX($L$4:$R$4,1,MATCH(MIN(L92:R92),L92:R92,0))&amp;IF(COUNTIF(L92:R92,MIN(L92:R92))&gt;1," (+"&amp;(COUNTIF(L92:R92,MIN(L92:R92))-1)&amp;" tied)",""))</f>
        <v/>
      </c>
      <c r="AD92" s="12" t="str">
        <f aca="false">IF($A92="","",INDEX($E$4:$K$4,1,MATCH(MAX(E92:K92),E92:K92,0))&amp;IF(COUNTIF(E92:K92,MAX(E92:K92))&gt;1," (+"&amp;(COUNTIF(E92:K92,MAX(E92:K92))-1)&amp;" tied)",""))</f>
        <v/>
      </c>
      <c r="AE92" s="12" t="str">
        <f aca="false">IF($A92="","",INDEX('Control Uplift Planner'!$B$5:$B$11,MATCH(INDEX($L$4:$R$4,1,MATCH(MIN(L92:R92),L92:R92,0)),'Control Uplift Planner'!$A$5:$A$11,0)))</f>
        <v/>
      </c>
      <c r="AF92" s="13" t="str">
        <f aca="false">IF($A92="","",IF(MIN(IF(AND(E92&gt;=4,H92&gt;=4),3,9),IF(AND(OR(C92="Governed Operations Zone",C92="Autonomous Operations Zone"),E92&gt;=3),IF(MIN(L92:N92)=0,2,IF(MIN(L92:N92)=1,3,9)),9),IF(AND(OR(C92="Governed Operations Zone",C92="Autonomous Operations Zone"),S92&lt;4),3,9))=9,"None",IF(MIN(IF(AND(E92&gt;=4,H92&gt;=4),3,9),IF(AND(OR(C92="Governed Operations Zone",C92="Autonomous Operations Zone"),E92&gt;=3),IF(MIN(L92:N92)=0,2,IF(MIN(L92:N92)=1,3,9)),9),IF(AND(OR(C92="Governed Operations Zone",C92="Autonomous Operations Zone"),S92&lt;4),3,9))=1,"Critical Orbit",IF(MIN(IF(AND(E92&gt;=4,H92&gt;=4),3,9),IF(AND(OR(C92="Governed Operations Zone",C92="Autonomous Operations Zone"),E92&gt;=3),IF(MIN(L92:N92)=0,2,IF(MIN(L92:N92)=1,3,9)),9),IF(AND(OR(C92="Governed Operations Zone",C92="Autonomous Operations Zone"),S92&lt;4),3,9))=2,"Unstable Orbit","Edge Orbit"))))</f>
        <v/>
      </c>
      <c r="AG92" s="14" t="str">
        <f aca="false">IF($A92="","",IF(IF(AND(E92&gt;=4,H92&gt;=4),"R1 concentrated force; ","")&amp;IF(AND(OR(C92="Governed Operations Zone",C92="Autonomous Operations Zone"),E92&gt;=3,MIN(L92:N92)&lt;=1),"R2 mandatory control "&amp;INDEX($L$4:$N$4,1,MATCH(MIN(L92:N92),L92:N92,0))&amp;"="&amp;MIN(L92:N92)&amp;"; ","")&amp;IF(AND(OR(C92="Governed Operations Zone",C92="Autonomous Operations Zone"),S92&lt;4),"R3 evidence tier "&amp;S92&amp;"&lt;4; ","")="","-",IF(AND(E92&gt;=4,H92&gt;=4),"R1 concentrated force; ","")&amp;IF(AND(OR(C92="Governed Operations Zone",C92="Autonomous Operations Zone"),E92&gt;=3,MIN(L92:N92)&lt;=1),"R2 mandatory control "&amp;INDEX($L$4:$N$4,1,MATCH(MIN(L92:N92),L92:N92,0))&amp;"="&amp;MIN(L92:N92)&amp;"; ","")&amp;IF(AND(OR(C92="Governed Operations Zone",C92="Autonomous Operations Zone"),S92&lt;4),"R3 evidence tier "&amp;S92&amp;"&lt;4; ","")))</f>
        <v/>
      </c>
      <c r="AH92" s="14" t="str">
        <f aca="false">IF($A92="","",IF(MIN(IF(X92="Critical Orbit",1,IF(X92="Unstable Orbit",2,IF(X92="Edge Orbit",3,IF(X92="Controlled Orbit",4,5)))),IF(AF92="None",9,IF(AF92="Critical Orbit",1,IF(AF92="Unstable Orbit",2,IF(AF92="Edge Orbit",3,IF(AF92="Controlled Orbit",4,5))))))=1,"Critical Orbit",IF(MIN(IF(X92="Critical Orbit",1,IF(X92="Unstable Orbit",2,IF(X92="Edge Orbit",3,IF(X92="Controlled Orbit",4,5)))),IF(AF92="None",9,IF(AF92="Critical Orbit",1,IF(AF92="Unstable Orbit",2,IF(AF92="Edge Orbit",3,IF(AF92="Controlled Orbit",4,5))))))=2,"Unstable Orbit",IF(MIN(IF(X92="Critical Orbit",1,IF(X92="Unstable Orbit",2,IF(X92="Edge Orbit",3,IF(X92="Controlled Orbit",4,5)))),IF(AF92="None",9,IF(AF92="Critical Orbit",1,IF(AF92="Unstable Orbit",2,IF(AF92="Edge Orbit",3,IF(AF92="Controlled Orbit",4,5))))))=3,"Edge Orbit",IF(MIN(IF(X92="Critical Orbit",1,IF(X92="Unstable Orbit",2,IF(X92="Edge Orbit",3,IF(X92="Controlled Orbit",4,5)))),IF(AF92="None",9,IF(AF92="Critical Orbit",1,IF(AF92="Unstable Orbit",2,IF(AF92="Edge Orbit",3,IF(AF92="Controlled Orbit",4,5))))))=4,"Controlled Orbit","Stable Orbit")))))</f>
        <v/>
      </c>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12" t="str">
        <f aca="false">IF($A93="","",IF(AND(MAX(L93:R93)&gt;3,S93&lt;3),"Warning: EGI &gt;3 needs Tier 3+ evidence",IF(AND(C93="Autonomous Operations Zone",S93&lt;4),"Warning: Autonomous zone needs Tier 4 evidence","OK")))</f>
        <v/>
      </c>
      <c r="U93" s="10" t="str">
        <f aca="false">IF($A93="","",IF($D93="Basic",SUM(E93:K93)/35*100,SUMPRODUCT(E93:K93,INDEX('Weighted Scoring'!$B$5:$H$13,MATCH($B93,'Weighted Scoring'!$A$5:$A$13,0),0))/SUMPRODUCT(5,INDEX('Weighted Scoring'!$B$5:$H$13,MATCH($B93,'Weighted Scoring'!$A$5:$A$13,0),0))*100))</f>
        <v/>
      </c>
      <c r="V93" s="10" t="str">
        <f aca="false">IF($A93="","",IF($D93="Basic",SUM(L93:R93)/35*100,SUMPRODUCT(L93:R93,INDEX('Weighted Scoring'!$I$5:$O$13,MATCH($B93,'Weighted Scoring'!$A$5:$A$13,0),0))/SUMPRODUCT(5,INDEX('Weighted Scoring'!$I$5:$O$13,MATCH($B93,'Weighted Scoring'!$A$5:$A$13,0),0))*100))</f>
        <v/>
      </c>
      <c r="W93" s="10" t="str">
        <f aca="false">IF($A93="","",V93-U93)</f>
        <v/>
      </c>
      <c r="X93" s="12" t="str">
        <f aca="false">IF($A93="","",IF(W93&gt;=40,"Stable Orbit",IF(W93&gt;=15,"Controlled Orbit",IF(W93&gt;=-14,"Edge Orbit",IF(W93&gt;=-39,"Unstable Orbit","Critical Orbit")))))</f>
        <v/>
      </c>
      <c r="Y93" s="12" t="str">
        <f aca="false">IF($A93="","",INDEX('Deployment Gates'!$C$5:$C$9,MATCH(AH93,'Deployment Gates'!$A$5:$A$9,0)))</f>
        <v/>
      </c>
      <c r="Z93" s="3"/>
      <c r="AA93" s="12" t="str">
        <f aca="false">IF($A93="","",IF(OR(AH93="Edge Orbit",AH93="Unstable Orbit",AH93="Critical Orbit",H93&gt;=4,G93&gt;=4,E93&gt;=4,J93&gt;=4),"Yes","No"))</f>
        <v/>
      </c>
      <c r="AB93" s="12" t="str">
        <f aca="false">IF($A93="","",IF(W93&lt;0,"Yes","No"))</f>
        <v/>
      </c>
      <c r="AC93" s="12" t="str">
        <f aca="false">IF($A93="","",INDEX($L$4:$R$4,1,MATCH(MIN(L93:R93),L93:R93,0))&amp;IF(COUNTIF(L93:R93,MIN(L93:R93))&gt;1," (+"&amp;(COUNTIF(L93:R93,MIN(L93:R93))-1)&amp;" tied)",""))</f>
        <v/>
      </c>
      <c r="AD93" s="12" t="str">
        <f aca="false">IF($A93="","",INDEX($E$4:$K$4,1,MATCH(MAX(E93:K93),E93:K93,0))&amp;IF(COUNTIF(E93:K93,MAX(E93:K93))&gt;1," (+"&amp;(COUNTIF(E93:K93,MAX(E93:K93))-1)&amp;" tied)",""))</f>
        <v/>
      </c>
      <c r="AE93" s="12" t="str">
        <f aca="false">IF($A93="","",INDEX('Control Uplift Planner'!$B$5:$B$11,MATCH(INDEX($L$4:$R$4,1,MATCH(MIN(L93:R93),L93:R93,0)),'Control Uplift Planner'!$A$5:$A$11,0)))</f>
        <v/>
      </c>
      <c r="AF93" s="13" t="str">
        <f aca="false">IF($A93="","",IF(MIN(IF(AND(E93&gt;=4,H93&gt;=4),3,9),IF(AND(OR(C93="Governed Operations Zone",C93="Autonomous Operations Zone"),E93&gt;=3),IF(MIN(L93:N93)=0,2,IF(MIN(L93:N93)=1,3,9)),9),IF(AND(OR(C93="Governed Operations Zone",C93="Autonomous Operations Zone"),S93&lt;4),3,9))=9,"None",IF(MIN(IF(AND(E93&gt;=4,H93&gt;=4),3,9),IF(AND(OR(C93="Governed Operations Zone",C93="Autonomous Operations Zone"),E93&gt;=3),IF(MIN(L93:N93)=0,2,IF(MIN(L93:N93)=1,3,9)),9),IF(AND(OR(C93="Governed Operations Zone",C93="Autonomous Operations Zone"),S93&lt;4),3,9))=1,"Critical Orbit",IF(MIN(IF(AND(E93&gt;=4,H93&gt;=4),3,9),IF(AND(OR(C93="Governed Operations Zone",C93="Autonomous Operations Zone"),E93&gt;=3),IF(MIN(L93:N93)=0,2,IF(MIN(L93:N93)=1,3,9)),9),IF(AND(OR(C93="Governed Operations Zone",C93="Autonomous Operations Zone"),S93&lt;4),3,9))=2,"Unstable Orbit","Edge Orbit"))))</f>
        <v/>
      </c>
      <c r="AG93" s="14" t="str">
        <f aca="false">IF($A93="","",IF(IF(AND(E93&gt;=4,H93&gt;=4),"R1 concentrated force; ","")&amp;IF(AND(OR(C93="Governed Operations Zone",C93="Autonomous Operations Zone"),E93&gt;=3,MIN(L93:N93)&lt;=1),"R2 mandatory control "&amp;INDEX($L$4:$N$4,1,MATCH(MIN(L93:N93),L93:N93,0))&amp;"="&amp;MIN(L93:N93)&amp;"; ","")&amp;IF(AND(OR(C93="Governed Operations Zone",C93="Autonomous Operations Zone"),S93&lt;4),"R3 evidence tier "&amp;S93&amp;"&lt;4; ","")="","-",IF(AND(E93&gt;=4,H93&gt;=4),"R1 concentrated force; ","")&amp;IF(AND(OR(C93="Governed Operations Zone",C93="Autonomous Operations Zone"),E93&gt;=3,MIN(L93:N93)&lt;=1),"R2 mandatory control "&amp;INDEX($L$4:$N$4,1,MATCH(MIN(L93:N93),L93:N93,0))&amp;"="&amp;MIN(L93:N93)&amp;"; ","")&amp;IF(AND(OR(C93="Governed Operations Zone",C93="Autonomous Operations Zone"),S93&lt;4),"R3 evidence tier "&amp;S93&amp;"&lt;4; ","")))</f>
        <v/>
      </c>
      <c r="AH93" s="14" t="str">
        <f aca="false">IF($A93="","",IF(MIN(IF(X93="Critical Orbit",1,IF(X93="Unstable Orbit",2,IF(X93="Edge Orbit",3,IF(X93="Controlled Orbit",4,5)))),IF(AF93="None",9,IF(AF93="Critical Orbit",1,IF(AF93="Unstable Orbit",2,IF(AF93="Edge Orbit",3,IF(AF93="Controlled Orbit",4,5))))))=1,"Critical Orbit",IF(MIN(IF(X93="Critical Orbit",1,IF(X93="Unstable Orbit",2,IF(X93="Edge Orbit",3,IF(X93="Controlled Orbit",4,5)))),IF(AF93="None",9,IF(AF93="Critical Orbit",1,IF(AF93="Unstable Orbit",2,IF(AF93="Edge Orbit",3,IF(AF93="Controlled Orbit",4,5))))))=2,"Unstable Orbit",IF(MIN(IF(X93="Critical Orbit",1,IF(X93="Unstable Orbit",2,IF(X93="Edge Orbit",3,IF(X93="Controlled Orbit",4,5)))),IF(AF93="None",9,IF(AF93="Critical Orbit",1,IF(AF93="Unstable Orbit",2,IF(AF93="Edge Orbit",3,IF(AF93="Controlled Orbit",4,5))))))=3,"Edge Orbit",IF(MIN(IF(X93="Critical Orbit",1,IF(X93="Unstable Orbit",2,IF(X93="Edge Orbit",3,IF(X93="Controlled Orbit",4,5)))),IF(AF93="None",9,IF(AF93="Critical Orbit",1,IF(AF93="Unstable Orbit",2,IF(AF93="Edge Orbit",3,IF(AF93="Controlled Orbit",4,5))))))=4,"Controlled Orbit","Stable Orbit")))))</f>
        <v/>
      </c>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12" t="str">
        <f aca="false">IF($A94="","",IF(AND(MAX(L94:R94)&gt;3,S94&lt;3),"Warning: EGI &gt;3 needs Tier 3+ evidence",IF(AND(C94="Autonomous Operations Zone",S94&lt;4),"Warning: Autonomous zone needs Tier 4 evidence","OK")))</f>
        <v/>
      </c>
      <c r="U94" s="10" t="str">
        <f aca="false">IF($A94="","",IF($D94="Basic",SUM(E94:K94)/35*100,SUMPRODUCT(E94:K94,INDEX('Weighted Scoring'!$B$5:$H$13,MATCH($B94,'Weighted Scoring'!$A$5:$A$13,0),0))/SUMPRODUCT(5,INDEX('Weighted Scoring'!$B$5:$H$13,MATCH($B94,'Weighted Scoring'!$A$5:$A$13,0),0))*100))</f>
        <v/>
      </c>
      <c r="V94" s="10" t="str">
        <f aca="false">IF($A94="","",IF($D94="Basic",SUM(L94:R94)/35*100,SUMPRODUCT(L94:R94,INDEX('Weighted Scoring'!$I$5:$O$13,MATCH($B94,'Weighted Scoring'!$A$5:$A$13,0),0))/SUMPRODUCT(5,INDEX('Weighted Scoring'!$I$5:$O$13,MATCH($B94,'Weighted Scoring'!$A$5:$A$13,0),0))*100))</f>
        <v/>
      </c>
      <c r="W94" s="10" t="str">
        <f aca="false">IF($A94="","",V94-U94)</f>
        <v/>
      </c>
      <c r="X94" s="12" t="str">
        <f aca="false">IF($A94="","",IF(W94&gt;=40,"Stable Orbit",IF(W94&gt;=15,"Controlled Orbit",IF(W94&gt;=-14,"Edge Orbit",IF(W94&gt;=-39,"Unstable Orbit","Critical Orbit")))))</f>
        <v/>
      </c>
      <c r="Y94" s="12" t="str">
        <f aca="false">IF($A94="","",INDEX('Deployment Gates'!$C$5:$C$9,MATCH(AH94,'Deployment Gates'!$A$5:$A$9,0)))</f>
        <v/>
      </c>
      <c r="Z94" s="3"/>
      <c r="AA94" s="12" t="str">
        <f aca="false">IF($A94="","",IF(OR(AH94="Edge Orbit",AH94="Unstable Orbit",AH94="Critical Orbit",H94&gt;=4,G94&gt;=4,E94&gt;=4,J94&gt;=4),"Yes","No"))</f>
        <v/>
      </c>
      <c r="AB94" s="12" t="str">
        <f aca="false">IF($A94="","",IF(W94&lt;0,"Yes","No"))</f>
        <v/>
      </c>
      <c r="AC94" s="12" t="str">
        <f aca="false">IF($A94="","",INDEX($L$4:$R$4,1,MATCH(MIN(L94:R94),L94:R94,0))&amp;IF(COUNTIF(L94:R94,MIN(L94:R94))&gt;1," (+"&amp;(COUNTIF(L94:R94,MIN(L94:R94))-1)&amp;" tied)",""))</f>
        <v/>
      </c>
      <c r="AD94" s="12" t="str">
        <f aca="false">IF($A94="","",INDEX($E$4:$K$4,1,MATCH(MAX(E94:K94),E94:K94,0))&amp;IF(COUNTIF(E94:K94,MAX(E94:K94))&gt;1," (+"&amp;(COUNTIF(E94:K94,MAX(E94:K94))-1)&amp;" tied)",""))</f>
        <v/>
      </c>
      <c r="AE94" s="12" t="str">
        <f aca="false">IF($A94="","",INDEX('Control Uplift Planner'!$B$5:$B$11,MATCH(INDEX($L$4:$R$4,1,MATCH(MIN(L94:R94),L94:R94,0)),'Control Uplift Planner'!$A$5:$A$11,0)))</f>
        <v/>
      </c>
      <c r="AF94" s="13" t="str">
        <f aca="false">IF($A94="","",IF(MIN(IF(AND(E94&gt;=4,H94&gt;=4),3,9),IF(AND(OR(C94="Governed Operations Zone",C94="Autonomous Operations Zone"),E94&gt;=3),IF(MIN(L94:N94)=0,2,IF(MIN(L94:N94)=1,3,9)),9),IF(AND(OR(C94="Governed Operations Zone",C94="Autonomous Operations Zone"),S94&lt;4),3,9))=9,"None",IF(MIN(IF(AND(E94&gt;=4,H94&gt;=4),3,9),IF(AND(OR(C94="Governed Operations Zone",C94="Autonomous Operations Zone"),E94&gt;=3),IF(MIN(L94:N94)=0,2,IF(MIN(L94:N94)=1,3,9)),9),IF(AND(OR(C94="Governed Operations Zone",C94="Autonomous Operations Zone"),S94&lt;4),3,9))=1,"Critical Orbit",IF(MIN(IF(AND(E94&gt;=4,H94&gt;=4),3,9),IF(AND(OR(C94="Governed Operations Zone",C94="Autonomous Operations Zone"),E94&gt;=3),IF(MIN(L94:N94)=0,2,IF(MIN(L94:N94)=1,3,9)),9),IF(AND(OR(C94="Governed Operations Zone",C94="Autonomous Operations Zone"),S94&lt;4),3,9))=2,"Unstable Orbit","Edge Orbit"))))</f>
        <v/>
      </c>
      <c r="AG94" s="14" t="str">
        <f aca="false">IF($A94="","",IF(IF(AND(E94&gt;=4,H94&gt;=4),"R1 concentrated force; ","")&amp;IF(AND(OR(C94="Governed Operations Zone",C94="Autonomous Operations Zone"),E94&gt;=3,MIN(L94:N94)&lt;=1),"R2 mandatory control "&amp;INDEX($L$4:$N$4,1,MATCH(MIN(L94:N94),L94:N94,0))&amp;"="&amp;MIN(L94:N94)&amp;"; ","")&amp;IF(AND(OR(C94="Governed Operations Zone",C94="Autonomous Operations Zone"),S94&lt;4),"R3 evidence tier "&amp;S94&amp;"&lt;4; ","")="","-",IF(AND(E94&gt;=4,H94&gt;=4),"R1 concentrated force; ","")&amp;IF(AND(OR(C94="Governed Operations Zone",C94="Autonomous Operations Zone"),E94&gt;=3,MIN(L94:N94)&lt;=1),"R2 mandatory control "&amp;INDEX($L$4:$N$4,1,MATCH(MIN(L94:N94),L94:N94,0))&amp;"="&amp;MIN(L94:N94)&amp;"; ","")&amp;IF(AND(OR(C94="Governed Operations Zone",C94="Autonomous Operations Zone"),S94&lt;4),"R3 evidence tier "&amp;S94&amp;"&lt;4; ","")))</f>
        <v/>
      </c>
      <c r="AH94" s="14" t="str">
        <f aca="false">IF($A94="","",IF(MIN(IF(X94="Critical Orbit",1,IF(X94="Unstable Orbit",2,IF(X94="Edge Orbit",3,IF(X94="Controlled Orbit",4,5)))),IF(AF94="None",9,IF(AF94="Critical Orbit",1,IF(AF94="Unstable Orbit",2,IF(AF94="Edge Orbit",3,IF(AF94="Controlled Orbit",4,5))))))=1,"Critical Orbit",IF(MIN(IF(X94="Critical Orbit",1,IF(X94="Unstable Orbit",2,IF(X94="Edge Orbit",3,IF(X94="Controlled Orbit",4,5)))),IF(AF94="None",9,IF(AF94="Critical Orbit",1,IF(AF94="Unstable Orbit",2,IF(AF94="Edge Orbit",3,IF(AF94="Controlled Orbit",4,5))))))=2,"Unstable Orbit",IF(MIN(IF(X94="Critical Orbit",1,IF(X94="Unstable Orbit",2,IF(X94="Edge Orbit",3,IF(X94="Controlled Orbit",4,5)))),IF(AF94="None",9,IF(AF94="Critical Orbit",1,IF(AF94="Unstable Orbit",2,IF(AF94="Edge Orbit",3,IF(AF94="Controlled Orbit",4,5))))))=3,"Edge Orbit",IF(MIN(IF(X94="Critical Orbit",1,IF(X94="Unstable Orbit",2,IF(X94="Edge Orbit",3,IF(X94="Controlled Orbit",4,5)))),IF(AF94="None",9,IF(AF94="Critical Orbit",1,IF(AF94="Unstable Orbit",2,IF(AF94="Edge Orbit",3,IF(AF94="Controlled Orbit",4,5))))))=4,"Controlled Orbit","Stable Orbit")))))</f>
        <v/>
      </c>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12" t="str">
        <f aca="false">IF($A95="","",IF(AND(MAX(L95:R95)&gt;3,S95&lt;3),"Warning: EGI &gt;3 needs Tier 3+ evidence",IF(AND(C95="Autonomous Operations Zone",S95&lt;4),"Warning: Autonomous zone needs Tier 4 evidence","OK")))</f>
        <v/>
      </c>
      <c r="U95" s="10" t="str">
        <f aca="false">IF($A95="","",IF($D95="Basic",SUM(E95:K95)/35*100,SUMPRODUCT(E95:K95,INDEX('Weighted Scoring'!$B$5:$H$13,MATCH($B95,'Weighted Scoring'!$A$5:$A$13,0),0))/SUMPRODUCT(5,INDEX('Weighted Scoring'!$B$5:$H$13,MATCH($B95,'Weighted Scoring'!$A$5:$A$13,0),0))*100))</f>
        <v/>
      </c>
      <c r="V95" s="10" t="str">
        <f aca="false">IF($A95="","",IF($D95="Basic",SUM(L95:R95)/35*100,SUMPRODUCT(L95:R95,INDEX('Weighted Scoring'!$I$5:$O$13,MATCH($B95,'Weighted Scoring'!$A$5:$A$13,0),0))/SUMPRODUCT(5,INDEX('Weighted Scoring'!$I$5:$O$13,MATCH($B95,'Weighted Scoring'!$A$5:$A$13,0),0))*100))</f>
        <v/>
      </c>
      <c r="W95" s="10" t="str">
        <f aca="false">IF($A95="","",V95-U95)</f>
        <v/>
      </c>
      <c r="X95" s="12" t="str">
        <f aca="false">IF($A95="","",IF(W95&gt;=40,"Stable Orbit",IF(W95&gt;=15,"Controlled Orbit",IF(W95&gt;=-14,"Edge Orbit",IF(W95&gt;=-39,"Unstable Orbit","Critical Orbit")))))</f>
        <v/>
      </c>
      <c r="Y95" s="12" t="str">
        <f aca="false">IF($A95="","",INDEX('Deployment Gates'!$C$5:$C$9,MATCH(AH95,'Deployment Gates'!$A$5:$A$9,0)))</f>
        <v/>
      </c>
      <c r="Z95" s="3"/>
      <c r="AA95" s="12" t="str">
        <f aca="false">IF($A95="","",IF(OR(AH95="Edge Orbit",AH95="Unstable Orbit",AH95="Critical Orbit",H95&gt;=4,G95&gt;=4,E95&gt;=4,J95&gt;=4),"Yes","No"))</f>
        <v/>
      </c>
      <c r="AB95" s="12" t="str">
        <f aca="false">IF($A95="","",IF(W95&lt;0,"Yes","No"))</f>
        <v/>
      </c>
      <c r="AC95" s="12" t="str">
        <f aca="false">IF($A95="","",INDEX($L$4:$R$4,1,MATCH(MIN(L95:R95),L95:R95,0))&amp;IF(COUNTIF(L95:R95,MIN(L95:R95))&gt;1," (+"&amp;(COUNTIF(L95:R95,MIN(L95:R95))-1)&amp;" tied)",""))</f>
        <v/>
      </c>
      <c r="AD95" s="12" t="str">
        <f aca="false">IF($A95="","",INDEX($E$4:$K$4,1,MATCH(MAX(E95:K95),E95:K95,0))&amp;IF(COUNTIF(E95:K95,MAX(E95:K95))&gt;1," (+"&amp;(COUNTIF(E95:K95,MAX(E95:K95))-1)&amp;" tied)",""))</f>
        <v/>
      </c>
      <c r="AE95" s="12" t="str">
        <f aca="false">IF($A95="","",INDEX('Control Uplift Planner'!$B$5:$B$11,MATCH(INDEX($L$4:$R$4,1,MATCH(MIN(L95:R95),L95:R95,0)),'Control Uplift Planner'!$A$5:$A$11,0)))</f>
        <v/>
      </c>
      <c r="AF95" s="13" t="str">
        <f aca="false">IF($A95="","",IF(MIN(IF(AND(E95&gt;=4,H95&gt;=4),3,9),IF(AND(OR(C95="Governed Operations Zone",C95="Autonomous Operations Zone"),E95&gt;=3),IF(MIN(L95:N95)=0,2,IF(MIN(L95:N95)=1,3,9)),9),IF(AND(OR(C95="Governed Operations Zone",C95="Autonomous Operations Zone"),S95&lt;4),3,9))=9,"None",IF(MIN(IF(AND(E95&gt;=4,H95&gt;=4),3,9),IF(AND(OR(C95="Governed Operations Zone",C95="Autonomous Operations Zone"),E95&gt;=3),IF(MIN(L95:N95)=0,2,IF(MIN(L95:N95)=1,3,9)),9),IF(AND(OR(C95="Governed Operations Zone",C95="Autonomous Operations Zone"),S95&lt;4),3,9))=1,"Critical Orbit",IF(MIN(IF(AND(E95&gt;=4,H95&gt;=4),3,9),IF(AND(OR(C95="Governed Operations Zone",C95="Autonomous Operations Zone"),E95&gt;=3),IF(MIN(L95:N95)=0,2,IF(MIN(L95:N95)=1,3,9)),9),IF(AND(OR(C95="Governed Operations Zone",C95="Autonomous Operations Zone"),S95&lt;4),3,9))=2,"Unstable Orbit","Edge Orbit"))))</f>
        <v/>
      </c>
      <c r="AG95" s="14" t="str">
        <f aca="false">IF($A95="","",IF(IF(AND(E95&gt;=4,H95&gt;=4),"R1 concentrated force; ","")&amp;IF(AND(OR(C95="Governed Operations Zone",C95="Autonomous Operations Zone"),E95&gt;=3,MIN(L95:N95)&lt;=1),"R2 mandatory control "&amp;INDEX($L$4:$N$4,1,MATCH(MIN(L95:N95),L95:N95,0))&amp;"="&amp;MIN(L95:N95)&amp;"; ","")&amp;IF(AND(OR(C95="Governed Operations Zone",C95="Autonomous Operations Zone"),S95&lt;4),"R3 evidence tier "&amp;S95&amp;"&lt;4; ","")="","-",IF(AND(E95&gt;=4,H95&gt;=4),"R1 concentrated force; ","")&amp;IF(AND(OR(C95="Governed Operations Zone",C95="Autonomous Operations Zone"),E95&gt;=3,MIN(L95:N95)&lt;=1),"R2 mandatory control "&amp;INDEX($L$4:$N$4,1,MATCH(MIN(L95:N95),L95:N95,0))&amp;"="&amp;MIN(L95:N95)&amp;"; ","")&amp;IF(AND(OR(C95="Governed Operations Zone",C95="Autonomous Operations Zone"),S95&lt;4),"R3 evidence tier "&amp;S95&amp;"&lt;4; ","")))</f>
        <v/>
      </c>
      <c r="AH95" s="14" t="str">
        <f aca="false">IF($A95="","",IF(MIN(IF(X95="Critical Orbit",1,IF(X95="Unstable Orbit",2,IF(X95="Edge Orbit",3,IF(X95="Controlled Orbit",4,5)))),IF(AF95="None",9,IF(AF95="Critical Orbit",1,IF(AF95="Unstable Orbit",2,IF(AF95="Edge Orbit",3,IF(AF95="Controlled Orbit",4,5))))))=1,"Critical Orbit",IF(MIN(IF(X95="Critical Orbit",1,IF(X95="Unstable Orbit",2,IF(X95="Edge Orbit",3,IF(X95="Controlled Orbit",4,5)))),IF(AF95="None",9,IF(AF95="Critical Orbit",1,IF(AF95="Unstable Orbit",2,IF(AF95="Edge Orbit",3,IF(AF95="Controlled Orbit",4,5))))))=2,"Unstable Orbit",IF(MIN(IF(X95="Critical Orbit",1,IF(X95="Unstable Orbit",2,IF(X95="Edge Orbit",3,IF(X95="Controlled Orbit",4,5)))),IF(AF95="None",9,IF(AF95="Critical Orbit",1,IF(AF95="Unstable Orbit",2,IF(AF95="Edge Orbit",3,IF(AF95="Controlled Orbit",4,5))))))=3,"Edge Orbit",IF(MIN(IF(X95="Critical Orbit",1,IF(X95="Unstable Orbit",2,IF(X95="Edge Orbit",3,IF(X95="Controlled Orbit",4,5)))),IF(AF95="None",9,IF(AF95="Critical Orbit",1,IF(AF95="Unstable Orbit",2,IF(AF95="Edge Orbit",3,IF(AF95="Controlled Orbit",4,5))))))=4,"Controlled Orbit","Stable Orbit")))))</f>
        <v/>
      </c>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12" t="str">
        <f aca="false">IF($A96="","",IF(AND(MAX(L96:R96)&gt;3,S96&lt;3),"Warning: EGI &gt;3 needs Tier 3+ evidence",IF(AND(C96="Autonomous Operations Zone",S96&lt;4),"Warning: Autonomous zone needs Tier 4 evidence","OK")))</f>
        <v/>
      </c>
      <c r="U96" s="10" t="str">
        <f aca="false">IF($A96="","",IF($D96="Basic",SUM(E96:K96)/35*100,SUMPRODUCT(E96:K96,INDEX('Weighted Scoring'!$B$5:$H$13,MATCH($B96,'Weighted Scoring'!$A$5:$A$13,0),0))/SUMPRODUCT(5,INDEX('Weighted Scoring'!$B$5:$H$13,MATCH($B96,'Weighted Scoring'!$A$5:$A$13,0),0))*100))</f>
        <v/>
      </c>
      <c r="V96" s="10" t="str">
        <f aca="false">IF($A96="","",IF($D96="Basic",SUM(L96:R96)/35*100,SUMPRODUCT(L96:R96,INDEX('Weighted Scoring'!$I$5:$O$13,MATCH($B96,'Weighted Scoring'!$A$5:$A$13,0),0))/SUMPRODUCT(5,INDEX('Weighted Scoring'!$I$5:$O$13,MATCH($B96,'Weighted Scoring'!$A$5:$A$13,0),0))*100))</f>
        <v/>
      </c>
      <c r="W96" s="10" t="str">
        <f aca="false">IF($A96="","",V96-U96)</f>
        <v/>
      </c>
      <c r="X96" s="12" t="str">
        <f aca="false">IF($A96="","",IF(W96&gt;=40,"Stable Orbit",IF(W96&gt;=15,"Controlled Orbit",IF(W96&gt;=-14,"Edge Orbit",IF(W96&gt;=-39,"Unstable Orbit","Critical Orbit")))))</f>
        <v/>
      </c>
      <c r="Y96" s="12" t="str">
        <f aca="false">IF($A96="","",INDEX('Deployment Gates'!$C$5:$C$9,MATCH(AH96,'Deployment Gates'!$A$5:$A$9,0)))</f>
        <v/>
      </c>
      <c r="Z96" s="3"/>
      <c r="AA96" s="12" t="str">
        <f aca="false">IF($A96="","",IF(OR(AH96="Edge Orbit",AH96="Unstable Orbit",AH96="Critical Orbit",H96&gt;=4,G96&gt;=4,E96&gt;=4,J96&gt;=4),"Yes","No"))</f>
        <v/>
      </c>
      <c r="AB96" s="12" t="str">
        <f aca="false">IF($A96="","",IF(W96&lt;0,"Yes","No"))</f>
        <v/>
      </c>
      <c r="AC96" s="12" t="str">
        <f aca="false">IF($A96="","",INDEX($L$4:$R$4,1,MATCH(MIN(L96:R96),L96:R96,0))&amp;IF(COUNTIF(L96:R96,MIN(L96:R96))&gt;1," (+"&amp;(COUNTIF(L96:R96,MIN(L96:R96))-1)&amp;" tied)",""))</f>
        <v/>
      </c>
      <c r="AD96" s="12" t="str">
        <f aca="false">IF($A96="","",INDEX($E$4:$K$4,1,MATCH(MAX(E96:K96),E96:K96,0))&amp;IF(COUNTIF(E96:K96,MAX(E96:K96))&gt;1," (+"&amp;(COUNTIF(E96:K96,MAX(E96:K96))-1)&amp;" tied)",""))</f>
        <v/>
      </c>
      <c r="AE96" s="12" t="str">
        <f aca="false">IF($A96="","",INDEX('Control Uplift Planner'!$B$5:$B$11,MATCH(INDEX($L$4:$R$4,1,MATCH(MIN(L96:R96),L96:R96,0)),'Control Uplift Planner'!$A$5:$A$11,0)))</f>
        <v/>
      </c>
      <c r="AF96" s="13" t="str">
        <f aca="false">IF($A96="","",IF(MIN(IF(AND(E96&gt;=4,H96&gt;=4),3,9),IF(AND(OR(C96="Governed Operations Zone",C96="Autonomous Operations Zone"),E96&gt;=3),IF(MIN(L96:N96)=0,2,IF(MIN(L96:N96)=1,3,9)),9),IF(AND(OR(C96="Governed Operations Zone",C96="Autonomous Operations Zone"),S96&lt;4),3,9))=9,"None",IF(MIN(IF(AND(E96&gt;=4,H96&gt;=4),3,9),IF(AND(OR(C96="Governed Operations Zone",C96="Autonomous Operations Zone"),E96&gt;=3),IF(MIN(L96:N96)=0,2,IF(MIN(L96:N96)=1,3,9)),9),IF(AND(OR(C96="Governed Operations Zone",C96="Autonomous Operations Zone"),S96&lt;4),3,9))=1,"Critical Orbit",IF(MIN(IF(AND(E96&gt;=4,H96&gt;=4),3,9),IF(AND(OR(C96="Governed Operations Zone",C96="Autonomous Operations Zone"),E96&gt;=3),IF(MIN(L96:N96)=0,2,IF(MIN(L96:N96)=1,3,9)),9),IF(AND(OR(C96="Governed Operations Zone",C96="Autonomous Operations Zone"),S96&lt;4),3,9))=2,"Unstable Orbit","Edge Orbit"))))</f>
        <v/>
      </c>
      <c r="AG96" s="14" t="str">
        <f aca="false">IF($A96="","",IF(IF(AND(E96&gt;=4,H96&gt;=4),"R1 concentrated force; ","")&amp;IF(AND(OR(C96="Governed Operations Zone",C96="Autonomous Operations Zone"),E96&gt;=3,MIN(L96:N96)&lt;=1),"R2 mandatory control "&amp;INDEX($L$4:$N$4,1,MATCH(MIN(L96:N96),L96:N96,0))&amp;"="&amp;MIN(L96:N96)&amp;"; ","")&amp;IF(AND(OR(C96="Governed Operations Zone",C96="Autonomous Operations Zone"),S96&lt;4),"R3 evidence tier "&amp;S96&amp;"&lt;4; ","")="","-",IF(AND(E96&gt;=4,H96&gt;=4),"R1 concentrated force; ","")&amp;IF(AND(OR(C96="Governed Operations Zone",C96="Autonomous Operations Zone"),E96&gt;=3,MIN(L96:N96)&lt;=1),"R2 mandatory control "&amp;INDEX($L$4:$N$4,1,MATCH(MIN(L96:N96),L96:N96,0))&amp;"="&amp;MIN(L96:N96)&amp;"; ","")&amp;IF(AND(OR(C96="Governed Operations Zone",C96="Autonomous Operations Zone"),S96&lt;4),"R3 evidence tier "&amp;S96&amp;"&lt;4; ","")))</f>
        <v/>
      </c>
      <c r="AH96" s="14" t="str">
        <f aca="false">IF($A96="","",IF(MIN(IF(X96="Critical Orbit",1,IF(X96="Unstable Orbit",2,IF(X96="Edge Orbit",3,IF(X96="Controlled Orbit",4,5)))),IF(AF96="None",9,IF(AF96="Critical Orbit",1,IF(AF96="Unstable Orbit",2,IF(AF96="Edge Orbit",3,IF(AF96="Controlled Orbit",4,5))))))=1,"Critical Orbit",IF(MIN(IF(X96="Critical Orbit",1,IF(X96="Unstable Orbit",2,IF(X96="Edge Orbit",3,IF(X96="Controlled Orbit",4,5)))),IF(AF96="None",9,IF(AF96="Critical Orbit",1,IF(AF96="Unstable Orbit",2,IF(AF96="Edge Orbit",3,IF(AF96="Controlled Orbit",4,5))))))=2,"Unstable Orbit",IF(MIN(IF(X96="Critical Orbit",1,IF(X96="Unstable Orbit",2,IF(X96="Edge Orbit",3,IF(X96="Controlled Orbit",4,5)))),IF(AF96="None",9,IF(AF96="Critical Orbit",1,IF(AF96="Unstable Orbit",2,IF(AF96="Edge Orbit",3,IF(AF96="Controlled Orbit",4,5))))))=3,"Edge Orbit",IF(MIN(IF(X96="Critical Orbit",1,IF(X96="Unstable Orbit",2,IF(X96="Edge Orbit",3,IF(X96="Controlled Orbit",4,5)))),IF(AF96="None",9,IF(AF96="Critical Orbit",1,IF(AF96="Unstable Orbit",2,IF(AF96="Edge Orbit",3,IF(AF96="Controlled Orbit",4,5))))))=4,"Controlled Orbit","Stable Orbit")))))</f>
        <v/>
      </c>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12" t="str">
        <f aca="false">IF($A97="","",IF(AND(MAX(L97:R97)&gt;3,S97&lt;3),"Warning: EGI &gt;3 needs Tier 3+ evidence",IF(AND(C97="Autonomous Operations Zone",S97&lt;4),"Warning: Autonomous zone needs Tier 4 evidence","OK")))</f>
        <v/>
      </c>
      <c r="U97" s="10" t="str">
        <f aca="false">IF($A97="","",IF($D97="Basic",SUM(E97:K97)/35*100,SUMPRODUCT(E97:K97,INDEX('Weighted Scoring'!$B$5:$H$13,MATCH($B97,'Weighted Scoring'!$A$5:$A$13,0),0))/SUMPRODUCT(5,INDEX('Weighted Scoring'!$B$5:$H$13,MATCH($B97,'Weighted Scoring'!$A$5:$A$13,0),0))*100))</f>
        <v/>
      </c>
      <c r="V97" s="10" t="str">
        <f aca="false">IF($A97="","",IF($D97="Basic",SUM(L97:R97)/35*100,SUMPRODUCT(L97:R97,INDEX('Weighted Scoring'!$I$5:$O$13,MATCH($B97,'Weighted Scoring'!$A$5:$A$13,0),0))/SUMPRODUCT(5,INDEX('Weighted Scoring'!$I$5:$O$13,MATCH($B97,'Weighted Scoring'!$A$5:$A$13,0),0))*100))</f>
        <v/>
      </c>
      <c r="W97" s="10" t="str">
        <f aca="false">IF($A97="","",V97-U97)</f>
        <v/>
      </c>
      <c r="X97" s="12" t="str">
        <f aca="false">IF($A97="","",IF(W97&gt;=40,"Stable Orbit",IF(W97&gt;=15,"Controlled Orbit",IF(W97&gt;=-14,"Edge Orbit",IF(W97&gt;=-39,"Unstable Orbit","Critical Orbit")))))</f>
        <v/>
      </c>
      <c r="Y97" s="12" t="str">
        <f aca="false">IF($A97="","",INDEX('Deployment Gates'!$C$5:$C$9,MATCH(AH97,'Deployment Gates'!$A$5:$A$9,0)))</f>
        <v/>
      </c>
      <c r="Z97" s="3"/>
      <c r="AA97" s="12" t="str">
        <f aca="false">IF($A97="","",IF(OR(AH97="Edge Orbit",AH97="Unstable Orbit",AH97="Critical Orbit",H97&gt;=4,G97&gt;=4,E97&gt;=4,J97&gt;=4),"Yes","No"))</f>
        <v/>
      </c>
      <c r="AB97" s="12" t="str">
        <f aca="false">IF($A97="","",IF(W97&lt;0,"Yes","No"))</f>
        <v/>
      </c>
      <c r="AC97" s="12" t="str">
        <f aca="false">IF($A97="","",INDEX($L$4:$R$4,1,MATCH(MIN(L97:R97),L97:R97,0))&amp;IF(COUNTIF(L97:R97,MIN(L97:R97))&gt;1," (+"&amp;(COUNTIF(L97:R97,MIN(L97:R97))-1)&amp;" tied)",""))</f>
        <v/>
      </c>
      <c r="AD97" s="12" t="str">
        <f aca="false">IF($A97="","",INDEX($E$4:$K$4,1,MATCH(MAX(E97:K97),E97:K97,0))&amp;IF(COUNTIF(E97:K97,MAX(E97:K97))&gt;1," (+"&amp;(COUNTIF(E97:K97,MAX(E97:K97))-1)&amp;" tied)",""))</f>
        <v/>
      </c>
      <c r="AE97" s="12" t="str">
        <f aca="false">IF($A97="","",INDEX('Control Uplift Planner'!$B$5:$B$11,MATCH(INDEX($L$4:$R$4,1,MATCH(MIN(L97:R97),L97:R97,0)),'Control Uplift Planner'!$A$5:$A$11,0)))</f>
        <v/>
      </c>
      <c r="AF97" s="13" t="str">
        <f aca="false">IF($A97="","",IF(MIN(IF(AND(E97&gt;=4,H97&gt;=4),3,9),IF(AND(OR(C97="Governed Operations Zone",C97="Autonomous Operations Zone"),E97&gt;=3),IF(MIN(L97:N97)=0,2,IF(MIN(L97:N97)=1,3,9)),9),IF(AND(OR(C97="Governed Operations Zone",C97="Autonomous Operations Zone"),S97&lt;4),3,9))=9,"None",IF(MIN(IF(AND(E97&gt;=4,H97&gt;=4),3,9),IF(AND(OR(C97="Governed Operations Zone",C97="Autonomous Operations Zone"),E97&gt;=3),IF(MIN(L97:N97)=0,2,IF(MIN(L97:N97)=1,3,9)),9),IF(AND(OR(C97="Governed Operations Zone",C97="Autonomous Operations Zone"),S97&lt;4),3,9))=1,"Critical Orbit",IF(MIN(IF(AND(E97&gt;=4,H97&gt;=4),3,9),IF(AND(OR(C97="Governed Operations Zone",C97="Autonomous Operations Zone"),E97&gt;=3),IF(MIN(L97:N97)=0,2,IF(MIN(L97:N97)=1,3,9)),9),IF(AND(OR(C97="Governed Operations Zone",C97="Autonomous Operations Zone"),S97&lt;4),3,9))=2,"Unstable Orbit","Edge Orbit"))))</f>
        <v/>
      </c>
      <c r="AG97" s="14" t="str">
        <f aca="false">IF($A97="","",IF(IF(AND(E97&gt;=4,H97&gt;=4),"R1 concentrated force; ","")&amp;IF(AND(OR(C97="Governed Operations Zone",C97="Autonomous Operations Zone"),E97&gt;=3,MIN(L97:N97)&lt;=1),"R2 mandatory control "&amp;INDEX($L$4:$N$4,1,MATCH(MIN(L97:N97),L97:N97,0))&amp;"="&amp;MIN(L97:N97)&amp;"; ","")&amp;IF(AND(OR(C97="Governed Operations Zone",C97="Autonomous Operations Zone"),S97&lt;4),"R3 evidence tier "&amp;S97&amp;"&lt;4; ","")="","-",IF(AND(E97&gt;=4,H97&gt;=4),"R1 concentrated force; ","")&amp;IF(AND(OR(C97="Governed Operations Zone",C97="Autonomous Operations Zone"),E97&gt;=3,MIN(L97:N97)&lt;=1),"R2 mandatory control "&amp;INDEX($L$4:$N$4,1,MATCH(MIN(L97:N97),L97:N97,0))&amp;"="&amp;MIN(L97:N97)&amp;"; ","")&amp;IF(AND(OR(C97="Governed Operations Zone",C97="Autonomous Operations Zone"),S97&lt;4),"R3 evidence tier "&amp;S97&amp;"&lt;4; ","")))</f>
        <v/>
      </c>
      <c r="AH97" s="14" t="str">
        <f aca="false">IF($A97="","",IF(MIN(IF(X97="Critical Orbit",1,IF(X97="Unstable Orbit",2,IF(X97="Edge Orbit",3,IF(X97="Controlled Orbit",4,5)))),IF(AF97="None",9,IF(AF97="Critical Orbit",1,IF(AF97="Unstable Orbit",2,IF(AF97="Edge Orbit",3,IF(AF97="Controlled Orbit",4,5))))))=1,"Critical Orbit",IF(MIN(IF(X97="Critical Orbit",1,IF(X97="Unstable Orbit",2,IF(X97="Edge Orbit",3,IF(X97="Controlled Orbit",4,5)))),IF(AF97="None",9,IF(AF97="Critical Orbit",1,IF(AF97="Unstable Orbit",2,IF(AF97="Edge Orbit",3,IF(AF97="Controlled Orbit",4,5))))))=2,"Unstable Orbit",IF(MIN(IF(X97="Critical Orbit",1,IF(X97="Unstable Orbit",2,IF(X97="Edge Orbit",3,IF(X97="Controlled Orbit",4,5)))),IF(AF97="None",9,IF(AF97="Critical Orbit",1,IF(AF97="Unstable Orbit",2,IF(AF97="Edge Orbit",3,IF(AF97="Controlled Orbit",4,5))))))=3,"Edge Orbit",IF(MIN(IF(X97="Critical Orbit",1,IF(X97="Unstable Orbit",2,IF(X97="Edge Orbit",3,IF(X97="Controlled Orbit",4,5)))),IF(AF97="None",9,IF(AF97="Critical Orbit",1,IF(AF97="Unstable Orbit",2,IF(AF97="Edge Orbit",3,IF(AF97="Controlled Orbit",4,5))))))=4,"Controlled Orbit","Stable Orbit")))))</f>
        <v/>
      </c>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12" t="str">
        <f aca="false">IF($A98="","",IF(AND(MAX(L98:R98)&gt;3,S98&lt;3),"Warning: EGI &gt;3 needs Tier 3+ evidence",IF(AND(C98="Autonomous Operations Zone",S98&lt;4),"Warning: Autonomous zone needs Tier 4 evidence","OK")))</f>
        <v/>
      </c>
      <c r="U98" s="10" t="str">
        <f aca="false">IF($A98="","",IF($D98="Basic",SUM(E98:K98)/35*100,SUMPRODUCT(E98:K98,INDEX('Weighted Scoring'!$B$5:$H$13,MATCH($B98,'Weighted Scoring'!$A$5:$A$13,0),0))/SUMPRODUCT(5,INDEX('Weighted Scoring'!$B$5:$H$13,MATCH($B98,'Weighted Scoring'!$A$5:$A$13,0),0))*100))</f>
        <v/>
      </c>
      <c r="V98" s="10" t="str">
        <f aca="false">IF($A98="","",IF($D98="Basic",SUM(L98:R98)/35*100,SUMPRODUCT(L98:R98,INDEX('Weighted Scoring'!$I$5:$O$13,MATCH($B98,'Weighted Scoring'!$A$5:$A$13,0),0))/SUMPRODUCT(5,INDEX('Weighted Scoring'!$I$5:$O$13,MATCH($B98,'Weighted Scoring'!$A$5:$A$13,0),0))*100))</f>
        <v/>
      </c>
      <c r="W98" s="10" t="str">
        <f aca="false">IF($A98="","",V98-U98)</f>
        <v/>
      </c>
      <c r="X98" s="12" t="str">
        <f aca="false">IF($A98="","",IF(W98&gt;=40,"Stable Orbit",IF(W98&gt;=15,"Controlled Orbit",IF(W98&gt;=-14,"Edge Orbit",IF(W98&gt;=-39,"Unstable Orbit","Critical Orbit")))))</f>
        <v/>
      </c>
      <c r="Y98" s="12" t="str">
        <f aca="false">IF($A98="","",INDEX('Deployment Gates'!$C$5:$C$9,MATCH(AH98,'Deployment Gates'!$A$5:$A$9,0)))</f>
        <v/>
      </c>
      <c r="Z98" s="3"/>
      <c r="AA98" s="12" t="str">
        <f aca="false">IF($A98="","",IF(OR(AH98="Edge Orbit",AH98="Unstable Orbit",AH98="Critical Orbit",H98&gt;=4,G98&gt;=4,E98&gt;=4,J98&gt;=4),"Yes","No"))</f>
        <v/>
      </c>
      <c r="AB98" s="12" t="str">
        <f aca="false">IF($A98="","",IF(W98&lt;0,"Yes","No"))</f>
        <v/>
      </c>
      <c r="AC98" s="12" t="str">
        <f aca="false">IF($A98="","",INDEX($L$4:$R$4,1,MATCH(MIN(L98:R98),L98:R98,0))&amp;IF(COUNTIF(L98:R98,MIN(L98:R98))&gt;1," (+"&amp;(COUNTIF(L98:R98,MIN(L98:R98))-1)&amp;" tied)",""))</f>
        <v/>
      </c>
      <c r="AD98" s="12" t="str">
        <f aca="false">IF($A98="","",INDEX($E$4:$K$4,1,MATCH(MAX(E98:K98),E98:K98,0))&amp;IF(COUNTIF(E98:K98,MAX(E98:K98))&gt;1," (+"&amp;(COUNTIF(E98:K98,MAX(E98:K98))-1)&amp;" tied)",""))</f>
        <v/>
      </c>
      <c r="AE98" s="12" t="str">
        <f aca="false">IF($A98="","",INDEX('Control Uplift Planner'!$B$5:$B$11,MATCH(INDEX($L$4:$R$4,1,MATCH(MIN(L98:R98),L98:R98,0)),'Control Uplift Planner'!$A$5:$A$11,0)))</f>
        <v/>
      </c>
      <c r="AF98" s="13" t="str">
        <f aca="false">IF($A98="","",IF(MIN(IF(AND(E98&gt;=4,H98&gt;=4),3,9),IF(AND(OR(C98="Governed Operations Zone",C98="Autonomous Operations Zone"),E98&gt;=3),IF(MIN(L98:N98)=0,2,IF(MIN(L98:N98)=1,3,9)),9),IF(AND(OR(C98="Governed Operations Zone",C98="Autonomous Operations Zone"),S98&lt;4),3,9))=9,"None",IF(MIN(IF(AND(E98&gt;=4,H98&gt;=4),3,9),IF(AND(OR(C98="Governed Operations Zone",C98="Autonomous Operations Zone"),E98&gt;=3),IF(MIN(L98:N98)=0,2,IF(MIN(L98:N98)=1,3,9)),9),IF(AND(OR(C98="Governed Operations Zone",C98="Autonomous Operations Zone"),S98&lt;4),3,9))=1,"Critical Orbit",IF(MIN(IF(AND(E98&gt;=4,H98&gt;=4),3,9),IF(AND(OR(C98="Governed Operations Zone",C98="Autonomous Operations Zone"),E98&gt;=3),IF(MIN(L98:N98)=0,2,IF(MIN(L98:N98)=1,3,9)),9),IF(AND(OR(C98="Governed Operations Zone",C98="Autonomous Operations Zone"),S98&lt;4),3,9))=2,"Unstable Orbit","Edge Orbit"))))</f>
        <v/>
      </c>
      <c r="AG98" s="14" t="str">
        <f aca="false">IF($A98="","",IF(IF(AND(E98&gt;=4,H98&gt;=4),"R1 concentrated force; ","")&amp;IF(AND(OR(C98="Governed Operations Zone",C98="Autonomous Operations Zone"),E98&gt;=3,MIN(L98:N98)&lt;=1),"R2 mandatory control "&amp;INDEX($L$4:$N$4,1,MATCH(MIN(L98:N98),L98:N98,0))&amp;"="&amp;MIN(L98:N98)&amp;"; ","")&amp;IF(AND(OR(C98="Governed Operations Zone",C98="Autonomous Operations Zone"),S98&lt;4),"R3 evidence tier "&amp;S98&amp;"&lt;4; ","")="","-",IF(AND(E98&gt;=4,H98&gt;=4),"R1 concentrated force; ","")&amp;IF(AND(OR(C98="Governed Operations Zone",C98="Autonomous Operations Zone"),E98&gt;=3,MIN(L98:N98)&lt;=1),"R2 mandatory control "&amp;INDEX($L$4:$N$4,1,MATCH(MIN(L98:N98),L98:N98,0))&amp;"="&amp;MIN(L98:N98)&amp;"; ","")&amp;IF(AND(OR(C98="Governed Operations Zone",C98="Autonomous Operations Zone"),S98&lt;4),"R3 evidence tier "&amp;S98&amp;"&lt;4; ","")))</f>
        <v/>
      </c>
      <c r="AH98" s="14" t="str">
        <f aca="false">IF($A98="","",IF(MIN(IF(X98="Critical Orbit",1,IF(X98="Unstable Orbit",2,IF(X98="Edge Orbit",3,IF(X98="Controlled Orbit",4,5)))),IF(AF98="None",9,IF(AF98="Critical Orbit",1,IF(AF98="Unstable Orbit",2,IF(AF98="Edge Orbit",3,IF(AF98="Controlled Orbit",4,5))))))=1,"Critical Orbit",IF(MIN(IF(X98="Critical Orbit",1,IF(X98="Unstable Orbit",2,IF(X98="Edge Orbit",3,IF(X98="Controlled Orbit",4,5)))),IF(AF98="None",9,IF(AF98="Critical Orbit",1,IF(AF98="Unstable Orbit",2,IF(AF98="Edge Orbit",3,IF(AF98="Controlled Orbit",4,5))))))=2,"Unstable Orbit",IF(MIN(IF(X98="Critical Orbit",1,IF(X98="Unstable Orbit",2,IF(X98="Edge Orbit",3,IF(X98="Controlled Orbit",4,5)))),IF(AF98="None",9,IF(AF98="Critical Orbit",1,IF(AF98="Unstable Orbit",2,IF(AF98="Edge Orbit",3,IF(AF98="Controlled Orbit",4,5))))))=3,"Edge Orbit",IF(MIN(IF(X98="Critical Orbit",1,IF(X98="Unstable Orbit",2,IF(X98="Edge Orbit",3,IF(X98="Controlled Orbit",4,5)))),IF(AF98="None",9,IF(AF98="Critical Orbit",1,IF(AF98="Unstable Orbit",2,IF(AF98="Edge Orbit",3,IF(AF98="Controlled Orbit",4,5))))))=4,"Controlled Orbit","Stable Orbit")))))</f>
        <v/>
      </c>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12" t="str">
        <f aca="false">IF($A99="","",IF(AND(MAX(L99:R99)&gt;3,S99&lt;3),"Warning: EGI &gt;3 needs Tier 3+ evidence",IF(AND(C99="Autonomous Operations Zone",S99&lt;4),"Warning: Autonomous zone needs Tier 4 evidence","OK")))</f>
        <v/>
      </c>
      <c r="U99" s="10" t="str">
        <f aca="false">IF($A99="","",IF($D99="Basic",SUM(E99:K99)/35*100,SUMPRODUCT(E99:K99,INDEX('Weighted Scoring'!$B$5:$H$13,MATCH($B99,'Weighted Scoring'!$A$5:$A$13,0),0))/SUMPRODUCT(5,INDEX('Weighted Scoring'!$B$5:$H$13,MATCH($B99,'Weighted Scoring'!$A$5:$A$13,0),0))*100))</f>
        <v/>
      </c>
      <c r="V99" s="10" t="str">
        <f aca="false">IF($A99="","",IF($D99="Basic",SUM(L99:R99)/35*100,SUMPRODUCT(L99:R99,INDEX('Weighted Scoring'!$I$5:$O$13,MATCH($B99,'Weighted Scoring'!$A$5:$A$13,0),0))/SUMPRODUCT(5,INDEX('Weighted Scoring'!$I$5:$O$13,MATCH($B99,'Weighted Scoring'!$A$5:$A$13,0),0))*100))</f>
        <v/>
      </c>
      <c r="W99" s="10" t="str">
        <f aca="false">IF($A99="","",V99-U99)</f>
        <v/>
      </c>
      <c r="X99" s="12" t="str">
        <f aca="false">IF($A99="","",IF(W99&gt;=40,"Stable Orbit",IF(W99&gt;=15,"Controlled Orbit",IF(W99&gt;=-14,"Edge Orbit",IF(W99&gt;=-39,"Unstable Orbit","Critical Orbit")))))</f>
        <v/>
      </c>
      <c r="Y99" s="12" t="str">
        <f aca="false">IF($A99="","",INDEX('Deployment Gates'!$C$5:$C$9,MATCH(AH99,'Deployment Gates'!$A$5:$A$9,0)))</f>
        <v/>
      </c>
      <c r="Z99" s="3"/>
      <c r="AA99" s="12" t="str">
        <f aca="false">IF($A99="","",IF(OR(AH99="Edge Orbit",AH99="Unstable Orbit",AH99="Critical Orbit",H99&gt;=4,G99&gt;=4,E99&gt;=4,J99&gt;=4),"Yes","No"))</f>
        <v/>
      </c>
      <c r="AB99" s="12" t="str">
        <f aca="false">IF($A99="","",IF(W99&lt;0,"Yes","No"))</f>
        <v/>
      </c>
      <c r="AC99" s="12" t="str">
        <f aca="false">IF($A99="","",INDEX($L$4:$R$4,1,MATCH(MIN(L99:R99),L99:R99,0))&amp;IF(COUNTIF(L99:R99,MIN(L99:R99))&gt;1," (+"&amp;(COUNTIF(L99:R99,MIN(L99:R99))-1)&amp;" tied)",""))</f>
        <v/>
      </c>
      <c r="AD99" s="12" t="str">
        <f aca="false">IF($A99="","",INDEX($E$4:$K$4,1,MATCH(MAX(E99:K99),E99:K99,0))&amp;IF(COUNTIF(E99:K99,MAX(E99:K99))&gt;1," (+"&amp;(COUNTIF(E99:K99,MAX(E99:K99))-1)&amp;" tied)",""))</f>
        <v/>
      </c>
      <c r="AE99" s="12" t="str">
        <f aca="false">IF($A99="","",INDEX('Control Uplift Planner'!$B$5:$B$11,MATCH(INDEX($L$4:$R$4,1,MATCH(MIN(L99:R99),L99:R99,0)),'Control Uplift Planner'!$A$5:$A$11,0)))</f>
        <v/>
      </c>
      <c r="AF99" s="13" t="str">
        <f aca="false">IF($A99="","",IF(MIN(IF(AND(E99&gt;=4,H99&gt;=4),3,9),IF(AND(OR(C99="Governed Operations Zone",C99="Autonomous Operations Zone"),E99&gt;=3),IF(MIN(L99:N99)=0,2,IF(MIN(L99:N99)=1,3,9)),9),IF(AND(OR(C99="Governed Operations Zone",C99="Autonomous Operations Zone"),S99&lt;4),3,9))=9,"None",IF(MIN(IF(AND(E99&gt;=4,H99&gt;=4),3,9),IF(AND(OR(C99="Governed Operations Zone",C99="Autonomous Operations Zone"),E99&gt;=3),IF(MIN(L99:N99)=0,2,IF(MIN(L99:N99)=1,3,9)),9),IF(AND(OR(C99="Governed Operations Zone",C99="Autonomous Operations Zone"),S99&lt;4),3,9))=1,"Critical Orbit",IF(MIN(IF(AND(E99&gt;=4,H99&gt;=4),3,9),IF(AND(OR(C99="Governed Operations Zone",C99="Autonomous Operations Zone"),E99&gt;=3),IF(MIN(L99:N99)=0,2,IF(MIN(L99:N99)=1,3,9)),9),IF(AND(OR(C99="Governed Operations Zone",C99="Autonomous Operations Zone"),S99&lt;4),3,9))=2,"Unstable Orbit","Edge Orbit"))))</f>
        <v/>
      </c>
      <c r="AG99" s="14" t="str">
        <f aca="false">IF($A99="","",IF(IF(AND(E99&gt;=4,H99&gt;=4),"R1 concentrated force; ","")&amp;IF(AND(OR(C99="Governed Operations Zone",C99="Autonomous Operations Zone"),E99&gt;=3,MIN(L99:N99)&lt;=1),"R2 mandatory control "&amp;INDEX($L$4:$N$4,1,MATCH(MIN(L99:N99),L99:N99,0))&amp;"="&amp;MIN(L99:N99)&amp;"; ","")&amp;IF(AND(OR(C99="Governed Operations Zone",C99="Autonomous Operations Zone"),S99&lt;4),"R3 evidence tier "&amp;S99&amp;"&lt;4; ","")="","-",IF(AND(E99&gt;=4,H99&gt;=4),"R1 concentrated force; ","")&amp;IF(AND(OR(C99="Governed Operations Zone",C99="Autonomous Operations Zone"),E99&gt;=3,MIN(L99:N99)&lt;=1),"R2 mandatory control "&amp;INDEX($L$4:$N$4,1,MATCH(MIN(L99:N99),L99:N99,0))&amp;"="&amp;MIN(L99:N99)&amp;"; ","")&amp;IF(AND(OR(C99="Governed Operations Zone",C99="Autonomous Operations Zone"),S99&lt;4),"R3 evidence tier "&amp;S99&amp;"&lt;4; ","")))</f>
        <v/>
      </c>
      <c r="AH99" s="14" t="str">
        <f aca="false">IF($A99="","",IF(MIN(IF(X99="Critical Orbit",1,IF(X99="Unstable Orbit",2,IF(X99="Edge Orbit",3,IF(X99="Controlled Orbit",4,5)))),IF(AF99="None",9,IF(AF99="Critical Orbit",1,IF(AF99="Unstable Orbit",2,IF(AF99="Edge Orbit",3,IF(AF99="Controlled Orbit",4,5))))))=1,"Critical Orbit",IF(MIN(IF(X99="Critical Orbit",1,IF(X99="Unstable Orbit",2,IF(X99="Edge Orbit",3,IF(X99="Controlled Orbit",4,5)))),IF(AF99="None",9,IF(AF99="Critical Orbit",1,IF(AF99="Unstable Orbit",2,IF(AF99="Edge Orbit",3,IF(AF99="Controlled Orbit",4,5))))))=2,"Unstable Orbit",IF(MIN(IF(X99="Critical Orbit",1,IF(X99="Unstable Orbit",2,IF(X99="Edge Orbit",3,IF(X99="Controlled Orbit",4,5)))),IF(AF99="None",9,IF(AF99="Critical Orbit",1,IF(AF99="Unstable Orbit",2,IF(AF99="Edge Orbit",3,IF(AF99="Controlled Orbit",4,5))))))=3,"Edge Orbit",IF(MIN(IF(X99="Critical Orbit",1,IF(X99="Unstable Orbit",2,IF(X99="Edge Orbit",3,IF(X99="Controlled Orbit",4,5)))),IF(AF99="None",9,IF(AF99="Critical Orbit",1,IF(AF99="Unstable Orbit",2,IF(AF99="Edge Orbit",3,IF(AF99="Controlled Orbit",4,5))))))=4,"Controlled Orbit","Stable Orbit")))))</f>
        <v/>
      </c>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12" t="str">
        <f aca="false">IF($A100="","",IF(AND(MAX(L100:R100)&gt;3,S100&lt;3),"Warning: EGI &gt;3 needs Tier 3+ evidence",IF(AND(C100="Autonomous Operations Zone",S100&lt;4),"Warning: Autonomous zone needs Tier 4 evidence","OK")))</f>
        <v/>
      </c>
      <c r="U100" s="10" t="str">
        <f aca="false">IF($A100="","",IF($D100="Basic",SUM(E100:K100)/35*100,SUMPRODUCT(E100:K100,INDEX('Weighted Scoring'!$B$5:$H$13,MATCH($B100,'Weighted Scoring'!$A$5:$A$13,0),0))/SUMPRODUCT(5,INDEX('Weighted Scoring'!$B$5:$H$13,MATCH($B100,'Weighted Scoring'!$A$5:$A$13,0),0))*100))</f>
        <v/>
      </c>
      <c r="V100" s="10" t="str">
        <f aca="false">IF($A100="","",IF($D100="Basic",SUM(L100:R100)/35*100,SUMPRODUCT(L100:R100,INDEX('Weighted Scoring'!$I$5:$O$13,MATCH($B100,'Weighted Scoring'!$A$5:$A$13,0),0))/SUMPRODUCT(5,INDEX('Weighted Scoring'!$I$5:$O$13,MATCH($B100,'Weighted Scoring'!$A$5:$A$13,0),0))*100))</f>
        <v/>
      </c>
      <c r="W100" s="10" t="str">
        <f aca="false">IF($A100="","",V100-U100)</f>
        <v/>
      </c>
      <c r="X100" s="12" t="str">
        <f aca="false">IF($A100="","",IF(W100&gt;=40,"Stable Orbit",IF(W100&gt;=15,"Controlled Orbit",IF(W100&gt;=-14,"Edge Orbit",IF(W100&gt;=-39,"Unstable Orbit","Critical Orbit")))))</f>
        <v/>
      </c>
      <c r="Y100" s="12" t="str">
        <f aca="false">IF($A100="","",INDEX('Deployment Gates'!$C$5:$C$9,MATCH(AH100,'Deployment Gates'!$A$5:$A$9,0)))</f>
        <v/>
      </c>
      <c r="Z100" s="3"/>
      <c r="AA100" s="12" t="str">
        <f aca="false">IF($A100="","",IF(OR(AH100="Edge Orbit",AH100="Unstable Orbit",AH100="Critical Orbit",H100&gt;=4,G100&gt;=4,E100&gt;=4,J100&gt;=4),"Yes","No"))</f>
        <v/>
      </c>
      <c r="AB100" s="12" t="str">
        <f aca="false">IF($A100="","",IF(W100&lt;0,"Yes","No"))</f>
        <v/>
      </c>
      <c r="AC100" s="12" t="str">
        <f aca="false">IF($A100="","",INDEX($L$4:$R$4,1,MATCH(MIN(L100:R100),L100:R100,0))&amp;IF(COUNTIF(L100:R100,MIN(L100:R100))&gt;1," (+"&amp;(COUNTIF(L100:R100,MIN(L100:R100))-1)&amp;" tied)",""))</f>
        <v/>
      </c>
      <c r="AD100" s="12" t="str">
        <f aca="false">IF($A100="","",INDEX($E$4:$K$4,1,MATCH(MAX(E100:K100),E100:K100,0))&amp;IF(COUNTIF(E100:K100,MAX(E100:K100))&gt;1," (+"&amp;(COUNTIF(E100:K100,MAX(E100:K100))-1)&amp;" tied)",""))</f>
        <v/>
      </c>
      <c r="AE100" s="12" t="str">
        <f aca="false">IF($A100="","",INDEX('Control Uplift Planner'!$B$5:$B$11,MATCH(INDEX($L$4:$R$4,1,MATCH(MIN(L100:R100),L100:R100,0)),'Control Uplift Planner'!$A$5:$A$11,0)))</f>
        <v/>
      </c>
      <c r="AF100" s="13" t="str">
        <f aca="false">IF($A100="","",IF(MIN(IF(AND(E100&gt;=4,H100&gt;=4),3,9),IF(AND(OR(C100="Governed Operations Zone",C100="Autonomous Operations Zone"),E100&gt;=3),IF(MIN(L100:N100)=0,2,IF(MIN(L100:N100)=1,3,9)),9),IF(AND(OR(C100="Governed Operations Zone",C100="Autonomous Operations Zone"),S100&lt;4),3,9))=9,"None",IF(MIN(IF(AND(E100&gt;=4,H100&gt;=4),3,9),IF(AND(OR(C100="Governed Operations Zone",C100="Autonomous Operations Zone"),E100&gt;=3),IF(MIN(L100:N100)=0,2,IF(MIN(L100:N100)=1,3,9)),9),IF(AND(OR(C100="Governed Operations Zone",C100="Autonomous Operations Zone"),S100&lt;4),3,9))=1,"Critical Orbit",IF(MIN(IF(AND(E100&gt;=4,H100&gt;=4),3,9),IF(AND(OR(C100="Governed Operations Zone",C100="Autonomous Operations Zone"),E100&gt;=3),IF(MIN(L100:N100)=0,2,IF(MIN(L100:N100)=1,3,9)),9),IF(AND(OR(C100="Governed Operations Zone",C100="Autonomous Operations Zone"),S100&lt;4),3,9))=2,"Unstable Orbit","Edge Orbit"))))</f>
        <v/>
      </c>
      <c r="AG100" s="14" t="str">
        <f aca="false">IF($A100="","",IF(IF(AND(E100&gt;=4,H100&gt;=4),"R1 concentrated force; ","")&amp;IF(AND(OR(C100="Governed Operations Zone",C100="Autonomous Operations Zone"),E100&gt;=3,MIN(L100:N100)&lt;=1),"R2 mandatory control "&amp;INDEX($L$4:$N$4,1,MATCH(MIN(L100:N100),L100:N100,0))&amp;"="&amp;MIN(L100:N100)&amp;"; ","")&amp;IF(AND(OR(C100="Governed Operations Zone",C100="Autonomous Operations Zone"),S100&lt;4),"R3 evidence tier "&amp;S100&amp;"&lt;4; ","")="","-",IF(AND(E100&gt;=4,H100&gt;=4),"R1 concentrated force; ","")&amp;IF(AND(OR(C100="Governed Operations Zone",C100="Autonomous Operations Zone"),E100&gt;=3,MIN(L100:N100)&lt;=1),"R2 mandatory control "&amp;INDEX($L$4:$N$4,1,MATCH(MIN(L100:N100),L100:N100,0))&amp;"="&amp;MIN(L100:N100)&amp;"; ","")&amp;IF(AND(OR(C100="Governed Operations Zone",C100="Autonomous Operations Zone"),S100&lt;4),"R3 evidence tier "&amp;S100&amp;"&lt;4; ","")))</f>
        <v/>
      </c>
      <c r="AH100" s="14" t="str">
        <f aca="false">IF($A100="","",IF(MIN(IF(X100="Critical Orbit",1,IF(X100="Unstable Orbit",2,IF(X100="Edge Orbit",3,IF(X100="Controlled Orbit",4,5)))),IF(AF100="None",9,IF(AF100="Critical Orbit",1,IF(AF100="Unstable Orbit",2,IF(AF100="Edge Orbit",3,IF(AF100="Controlled Orbit",4,5))))))=1,"Critical Orbit",IF(MIN(IF(X100="Critical Orbit",1,IF(X100="Unstable Orbit",2,IF(X100="Edge Orbit",3,IF(X100="Controlled Orbit",4,5)))),IF(AF100="None",9,IF(AF100="Critical Orbit",1,IF(AF100="Unstable Orbit",2,IF(AF100="Edge Orbit",3,IF(AF100="Controlled Orbit",4,5))))))=2,"Unstable Orbit",IF(MIN(IF(X100="Critical Orbit",1,IF(X100="Unstable Orbit",2,IF(X100="Edge Orbit",3,IF(X100="Controlled Orbit",4,5)))),IF(AF100="None",9,IF(AF100="Critical Orbit",1,IF(AF100="Unstable Orbit",2,IF(AF100="Edge Orbit",3,IF(AF100="Controlled Orbit",4,5))))))=3,"Edge Orbit",IF(MIN(IF(X100="Critical Orbit",1,IF(X100="Unstable Orbit",2,IF(X100="Edge Orbit",3,IF(X100="Controlled Orbit",4,5)))),IF(AF100="None",9,IF(AF100="Critical Orbit",1,IF(AF100="Unstable Orbit",2,IF(AF100="Edge Orbit",3,IF(AF100="Controlled Orbit",4,5))))))=4,"Controlled Orbit","Stable Orbit")))))</f>
        <v/>
      </c>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12" t="str">
        <f aca="false">IF($A101="","",IF(AND(MAX(L101:R101)&gt;3,S101&lt;3),"Warning: EGI &gt;3 needs Tier 3+ evidence",IF(AND(C101="Autonomous Operations Zone",S101&lt;4),"Warning: Autonomous zone needs Tier 4 evidence","OK")))</f>
        <v/>
      </c>
      <c r="U101" s="10" t="str">
        <f aca="false">IF($A101="","",IF($D101="Basic",SUM(E101:K101)/35*100,SUMPRODUCT(E101:K101,INDEX('Weighted Scoring'!$B$5:$H$13,MATCH($B101,'Weighted Scoring'!$A$5:$A$13,0),0))/SUMPRODUCT(5,INDEX('Weighted Scoring'!$B$5:$H$13,MATCH($B101,'Weighted Scoring'!$A$5:$A$13,0),0))*100))</f>
        <v/>
      </c>
      <c r="V101" s="10" t="str">
        <f aca="false">IF($A101="","",IF($D101="Basic",SUM(L101:R101)/35*100,SUMPRODUCT(L101:R101,INDEX('Weighted Scoring'!$I$5:$O$13,MATCH($B101,'Weighted Scoring'!$A$5:$A$13,0),0))/SUMPRODUCT(5,INDEX('Weighted Scoring'!$I$5:$O$13,MATCH($B101,'Weighted Scoring'!$A$5:$A$13,0),0))*100))</f>
        <v/>
      </c>
      <c r="W101" s="10" t="str">
        <f aca="false">IF($A101="","",V101-U101)</f>
        <v/>
      </c>
      <c r="X101" s="12" t="str">
        <f aca="false">IF($A101="","",IF(W101&gt;=40,"Stable Orbit",IF(W101&gt;=15,"Controlled Orbit",IF(W101&gt;=-14,"Edge Orbit",IF(W101&gt;=-39,"Unstable Orbit","Critical Orbit")))))</f>
        <v/>
      </c>
      <c r="Y101" s="12" t="str">
        <f aca="false">IF($A101="","",INDEX('Deployment Gates'!$C$5:$C$9,MATCH(AH101,'Deployment Gates'!$A$5:$A$9,0)))</f>
        <v/>
      </c>
      <c r="Z101" s="3"/>
      <c r="AA101" s="12" t="str">
        <f aca="false">IF($A101="","",IF(OR(AH101="Edge Orbit",AH101="Unstable Orbit",AH101="Critical Orbit",H101&gt;=4,G101&gt;=4,E101&gt;=4,J101&gt;=4),"Yes","No"))</f>
        <v/>
      </c>
      <c r="AB101" s="12" t="str">
        <f aca="false">IF($A101="","",IF(W101&lt;0,"Yes","No"))</f>
        <v/>
      </c>
      <c r="AC101" s="12" t="str">
        <f aca="false">IF($A101="","",INDEX($L$4:$R$4,1,MATCH(MIN(L101:R101),L101:R101,0))&amp;IF(COUNTIF(L101:R101,MIN(L101:R101))&gt;1," (+"&amp;(COUNTIF(L101:R101,MIN(L101:R101))-1)&amp;" tied)",""))</f>
        <v/>
      </c>
      <c r="AD101" s="12" t="str">
        <f aca="false">IF($A101="","",INDEX($E$4:$K$4,1,MATCH(MAX(E101:K101),E101:K101,0))&amp;IF(COUNTIF(E101:K101,MAX(E101:K101))&gt;1," (+"&amp;(COUNTIF(E101:K101,MAX(E101:K101))-1)&amp;" tied)",""))</f>
        <v/>
      </c>
      <c r="AE101" s="12" t="str">
        <f aca="false">IF($A101="","",INDEX('Control Uplift Planner'!$B$5:$B$11,MATCH(INDEX($L$4:$R$4,1,MATCH(MIN(L101:R101),L101:R101,0)),'Control Uplift Planner'!$A$5:$A$11,0)))</f>
        <v/>
      </c>
      <c r="AF101" s="13" t="str">
        <f aca="false">IF($A101="","",IF(MIN(IF(AND(E101&gt;=4,H101&gt;=4),3,9),IF(AND(OR(C101="Governed Operations Zone",C101="Autonomous Operations Zone"),E101&gt;=3),IF(MIN(L101:N101)=0,2,IF(MIN(L101:N101)=1,3,9)),9),IF(AND(OR(C101="Governed Operations Zone",C101="Autonomous Operations Zone"),S101&lt;4),3,9))=9,"None",IF(MIN(IF(AND(E101&gt;=4,H101&gt;=4),3,9),IF(AND(OR(C101="Governed Operations Zone",C101="Autonomous Operations Zone"),E101&gt;=3),IF(MIN(L101:N101)=0,2,IF(MIN(L101:N101)=1,3,9)),9),IF(AND(OR(C101="Governed Operations Zone",C101="Autonomous Operations Zone"),S101&lt;4),3,9))=1,"Critical Orbit",IF(MIN(IF(AND(E101&gt;=4,H101&gt;=4),3,9),IF(AND(OR(C101="Governed Operations Zone",C101="Autonomous Operations Zone"),E101&gt;=3),IF(MIN(L101:N101)=0,2,IF(MIN(L101:N101)=1,3,9)),9),IF(AND(OR(C101="Governed Operations Zone",C101="Autonomous Operations Zone"),S101&lt;4),3,9))=2,"Unstable Orbit","Edge Orbit"))))</f>
        <v/>
      </c>
      <c r="AG101" s="14" t="str">
        <f aca="false">IF($A101="","",IF(IF(AND(E101&gt;=4,H101&gt;=4),"R1 concentrated force; ","")&amp;IF(AND(OR(C101="Governed Operations Zone",C101="Autonomous Operations Zone"),E101&gt;=3,MIN(L101:N101)&lt;=1),"R2 mandatory control "&amp;INDEX($L$4:$N$4,1,MATCH(MIN(L101:N101),L101:N101,0))&amp;"="&amp;MIN(L101:N101)&amp;"; ","")&amp;IF(AND(OR(C101="Governed Operations Zone",C101="Autonomous Operations Zone"),S101&lt;4),"R3 evidence tier "&amp;S101&amp;"&lt;4; ","")="","-",IF(AND(E101&gt;=4,H101&gt;=4),"R1 concentrated force; ","")&amp;IF(AND(OR(C101="Governed Operations Zone",C101="Autonomous Operations Zone"),E101&gt;=3,MIN(L101:N101)&lt;=1),"R2 mandatory control "&amp;INDEX($L$4:$N$4,1,MATCH(MIN(L101:N101),L101:N101,0))&amp;"="&amp;MIN(L101:N101)&amp;"; ","")&amp;IF(AND(OR(C101="Governed Operations Zone",C101="Autonomous Operations Zone"),S101&lt;4),"R3 evidence tier "&amp;S101&amp;"&lt;4; ","")))</f>
        <v/>
      </c>
      <c r="AH101" s="14" t="str">
        <f aca="false">IF($A101="","",IF(MIN(IF(X101="Critical Orbit",1,IF(X101="Unstable Orbit",2,IF(X101="Edge Orbit",3,IF(X101="Controlled Orbit",4,5)))),IF(AF101="None",9,IF(AF101="Critical Orbit",1,IF(AF101="Unstable Orbit",2,IF(AF101="Edge Orbit",3,IF(AF101="Controlled Orbit",4,5))))))=1,"Critical Orbit",IF(MIN(IF(X101="Critical Orbit",1,IF(X101="Unstable Orbit",2,IF(X101="Edge Orbit",3,IF(X101="Controlled Orbit",4,5)))),IF(AF101="None",9,IF(AF101="Critical Orbit",1,IF(AF101="Unstable Orbit",2,IF(AF101="Edge Orbit",3,IF(AF101="Controlled Orbit",4,5))))))=2,"Unstable Orbit",IF(MIN(IF(X101="Critical Orbit",1,IF(X101="Unstable Orbit",2,IF(X101="Edge Orbit",3,IF(X101="Controlled Orbit",4,5)))),IF(AF101="None",9,IF(AF101="Critical Orbit",1,IF(AF101="Unstable Orbit",2,IF(AF101="Edge Orbit",3,IF(AF101="Controlled Orbit",4,5))))))=3,"Edge Orbit",IF(MIN(IF(X101="Critical Orbit",1,IF(X101="Unstable Orbit",2,IF(X101="Edge Orbit",3,IF(X101="Controlled Orbit",4,5)))),IF(AF101="None",9,IF(AF101="Critical Orbit",1,IF(AF101="Unstable Orbit",2,IF(AF101="Edge Orbit",3,IF(AF101="Controlled Orbit",4,5))))))=4,"Controlled Orbit","Stable Orbit")))))</f>
        <v/>
      </c>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12" t="str">
        <f aca="false">IF($A102="","",IF(AND(MAX(L102:R102)&gt;3,S102&lt;3),"Warning: EGI &gt;3 needs Tier 3+ evidence",IF(AND(C102="Autonomous Operations Zone",S102&lt;4),"Warning: Autonomous zone needs Tier 4 evidence","OK")))</f>
        <v/>
      </c>
      <c r="U102" s="10" t="str">
        <f aca="false">IF($A102="","",IF($D102="Basic",SUM(E102:K102)/35*100,SUMPRODUCT(E102:K102,INDEX('Weighted Scoring'!$B$5:$H$13,MATCH($B102,'Weighted Scoring'!$A$5:$A$13,0),0))/SUMPRODUCT(5,INDEX('Weighted Scoring'!$B$5:$H$13,MATCH($B102,'Weighted Scoring'!$A$5:$A$13,0),0))*100))</f>
        <v/>
      </c>
      <c r="V102" s="10" t="str">
        <f aca="false">IF($A102="","",IF($D102="Basic",SUM(L102:R102)/35*100,SUMPRODUCT(L102:R102,INDEX('Weighted Scoring'!$I$5:$O$13,MATCH($B102,'Weighted Scoring'!$A$5:$A$13,0),0))/SUMPRODUCT(5,INDEX('Weighted Scoring'!$I$5:$O$13,MATCH($B102,'Weighted Scoring'!$A$5:$A$13,0),0))*100))</f>
        <v/>
      </c>
      <c r="W102" s="10" t="str">
        <f aca="false">IF($A102="","",V102-U102)</f>
        <v/>
      </c>
      <c r="X102" s="12" t="str">
        <f aca="false">IF($A102="","",IF(W102&gt;=40,"Stable Orbit",IF(W102&gt;=15,"Controlled Orbit",IF(W102&gt;=-14,"Edge Orbit",IF(W102&gt;=-39,"Unstable Orbit","Critical Orbit")))))</f>
        <v/>
      </c>
      <c r="Y102" s="12" t="str">
        <f aca="false">IF($A102="","",INDEX('Deployment Gates'!$C$5:$C$9,MATCH(AH102,'Deployment Gates'!$A$5:$A$9,0)))</f>
        <v/>
      </c>
      <c r="Z102" s="3"/>
      <c r="AA102" s="12" t="str">
        <f aca="false">IF($A102="","",IF(OR(AH102="Edge Orbit",AH102="Unstable Orbit",AH102="Critical Orbit",H102&gt;=4,G102&gt;=4,E102&gt;=4,J102&gt;=4),"Yes","No"))</f>
        <v/>
      </c>
      <c r="AB102" s="12" t="str">
        <f aca="false">IF($A102="","",IF(W102&lt;0,"Yes","No"))</f>
        <v/>
      </c>
      <c r="AC102" s="12" t="str">
        <f aca="false">IF($A102="","",INDEX($L$4:$R$4,1,MATCH(MIN(L102:R102),L102:R102,0))&amp;IF(COUNTIF(L102:R102,MIN(L102:R102))&gt;1," (+"&amp;(COUNTIF(L102:R102,MIN(L102:R102))-1)&amp;" tied)",""))</f>
        <v/>
      </c>
      <c r="AD102" s="12" t="str">
        <f aca="false">IF($A102="","",INDEX($E$4:$K$4,1,MATCH(MAX(E102:K102),E102:K102,0))&amp;IF(COUNTIF(E102:K102,MAX(E102:K102))&gt;1," (+"&amp;(COUNTIF(E102:K102,MAX(E102:K102))-1)&amp;" tied)",""))</f>
        <v/>
      </c>
      <c r="AE102" s="12" t="str">
        <f aca="false">IF($A102="","",INDEX('Control Uplift Planner'!$B$5:$B$11,MATCH(INDEX($L$4:$R$4,1,MATCH(MIN(L102:R102),L102:R102,0)),'Control Uplift Planner'!$A$5:$A$11,0)))</f>
        <v/>
      </c>
      <c r="AF102" s="13" t="str">
        <f aca="false">IF($A102="","",IF(MIN(IF(AND(E102&gt;=4,H102&gt;=4),3,9),IF(AND(OR(C102="Governed Operations Zone",C102="Autonomous Operations Zone"),E102&gt;=3),IF(MIN(L102:N102)=0,2,IF(MIN(L102:N102)=1,3,9)),9),IF(AND(OR(C102="Governed Operations Zone",C102="Autonomous Operations Zone"),S102&lt;4),3,9))=9,"None",IF(MIN(IF(AND(E102&gt;=4,H102&gt;=4),3,9),IF(AND(OR(C102="Governed Operations Zone",C102="Autonomous Operations Zone"),E102&gt;=3),IF(MIN(L102:N102)=0,2,IF(MIN(L102:N102)=1,3,9)),9),IF(AND(OR(C102="Governed Operations Zone",C102="Autonomous Operations Zone"),S102&lt;4),3,9))=1,"Critical Orbit",IF(MIN(IF(AND(E102&gt;=4,H102&gt;=4),3,9),IF(AND(OR(C102="Governed Operations Zone",C102="Autonomous Operations Zone"),E102&gt;=3),IF(MIN(L102:N102)=0,2,IF(MIN(L102:N102)=1,3,9)),9),IF(AND(OR(C102="Governed Operations Zone",C102="Autonomous Operations Zone"),S102&lt;4),3,9))=2,"Unstable Orbit","Edge Orbit"))))</f>
        <v/>
      </c>
      <c r="AG102" s="14" t="str">
        <f aca="false">IF($A102="","",IF(IF(AND(E102&gt;=4,H102&gt;=4),"R1 concentrated force; ","")&amp;IF(AND(OR(C102="Governed Operations Zone",C102="Autonomous Operations Zone"),E102&gt;=3,MIN(L102:N102)&lt;=1),"R2 mandatory control "&amp;INDEX($L$4:$N$4,1,MATCH(MIN(L102:N102),L102:N102,0))&amp;"="&amp;MIN(L102:N102)&amp;"; ","")&amp;IF(AND(OR(C102="Governed Operations Zone",C102="Autonomous Operations Zone"),S102&lt;4),"R3 evidence tier "&amp;S102&amp;"&lt;4; ","")="","-",IF(AND(E102&gt;=4,H102&gt;=4),"R1 concentrated force; ","")&amp;IF(AND(OR(C102="Governed Operations Zone",C102="Autonomous Operations Zone"),E102&gt;=3,MIN(L102:N102)&lt;=1),"R2 mandatory control "&amp;INDEX($L$4:$N$4,1,MATCH(MIN(L102:N102),L102:N102,0))&amp;"="&amp;MIN(L102:N102)&amp;"; ","")&amp;IF(AND(OR(C102="Governed Operations Zone",C102="Autonomous Operations Zone"),S102&lt;4),"R3 evidence tier "&amp;S102&amp;"&lt;4; ","")))</f>
        <v/>
      </c>
      <c r="AH102" s="14" t="str">
        <f aca="false">IF($A102="","",IF(MIN(IF(X102="Critical Orbit",1,IF(X102="Unstable Orbit",2,IF(X102="Edge Orbit",3,IF(X102="Controlled Orbit",4,5)))),IF(AF102="None",9,IF(AF102="Critical Orbit",1,IF(AF102="Unstable Orbit",2,IF(AF102="Edge Orbit",3,IF(AF102="Controlled Orbit",4,5))))))=1,"Critical Orbit",IF(MIN(IF(X102="Critical Orbit",1,IF(X102="Unstable Orbit",2,IF(X102="Edge Orbit",3,IF(X102="Controlled Orbit",4,5)))),IF(AF102="None",9,IF(AF102="Critical Orbit",1,IF(AF102="Unstable Orbit",2,IF(AF102="Edge Orbit",3,IF(AF102="Controlled Orbit",4,5))))))=2,"Unstable Orbit",IF(MIN(IF(X102="Critical Orbit",1,IF(X102="Unstable Orbit",2,IF(X102="Edge Orbit",3,IF(X102="Controlled Orbit",4,5)))),IF(AF102="None",9,IF(AF102="Critical Orbit",1,IF(AF102="Unstable Orbit",2,IF(AF102="Edge Orbit",3,IF(AF102="Controlled Orbit",4,5))))))=3,"Edge Orbit",IF(MIN(IF(X102="Critical Orbit",1,IF(X102="Unstable Orbit",2,IF(X102="Edge Orbit",3,IF(X102="Controlled Orbit",4,5)))),IF(AF102="None",9,IF(AF102="Critical Orbit",1,IF(AF102="Unstable Orbit",2,IF(AF102="Edge Orbit",3,IF(AF102="Controlled Orbit",4,5))))))=4,"Controlled Orbit","Stable Orbit")))))</f>
        <v/>
      </c>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12" t="str">
        <f aca="false">IF($A103="","",IF(AND(MAX(L103:R103)&gt;3,S103&lt;3),"Warning: EGI &gt;3 needs Tier 3+ evidence",IF(AND(C103="Autonomous Operations Zone",S103&lt;4),"Warning: Autonomous zone needs Tier 4 evidence","OK")))</f>
        <v/>
      </c>
      <c r="U103" s="10" t="str">
        <f aca="false">IF($A103="","",IF($D103="Basic",SUM(E103:K103)/35*100,SUMPRODUCT(E103:K103,INDEX('Weighted Scoring'!$B$5:$H$13,MATCH($B103,'Weighted Scoring'!$A$5:$A$13,0),0))/SUMPRODUCT(5,INDEX('Weighted Scoring'!$B$5:$H$13,MATCH($B103,'Weighted Scoring'!$A$5:$A$13,0),0))*100))</f>
        <v/>
      </c>
      <c r="V103" s="10" t="str">
        <f aca="false">IF($A103="","",IF($D103="Basic",SUM(L103:R103)/35*100,SUMPRODUCT(L103:R103,INDEX('Weighted Scoring'!$I$5:$O$13,MATCH($B103,'Weighted Scoring'!$A$5:$A$13,0),0))/SUMPRODUCT(5,INDEX('Weighted Scoring'!$I$5:$O$13,MATCH($B103,'Weighted Scoring'!$A$5:$A$13,0),0))*100))</f>
        <v/>
      </c>
      <c r="W103" s="10" t="str">
        <f aca="false">IF($A103="","",V103-U103)</f>
        <v/>
      </c>
      <c r="X103" s="12" t="str">
        <f aca="false">IF($A103="","",IF(W103&gt;=40,"Stable Orbit",IF(W103&gt;=15,"Controlled Orbit",IF(W103&gt;=-14,"Edge Orbit",IF(W103&gt;=-39,"Unstable Orbit","Critical Orbit")))))</f>
        <v/>
      </c>
      <c r="Y103" s="12" t="str">
        <f aca="false">IF($A103="","",INDEX('Deployment Gates'!$C$5:$C$9,MATCH(AH103,'Deployment Gates'!$A$5:$A$9,0)))</f>
        <v/>
      </c>
      <c r="Z103" s="3"/>
      <c r="AA103" s="12" t="str">
        <f aca="false">IF($A103="","",IF(OR(AH103="Edge Orbit",AH103="Unstable Orbit",AH103="Critical Orbit",H103&gt;=4,G103&gt;=4,E103&gt;=4,J103&gt;=4),"Yes","No"))</f>
        <v/>
      </c>
      <c r="AB103" s="12" t="str">
        <f aca="false">IF($A103="","",IF(W103&lt;0,"Yes","No"))</f>
        <v/>
      </c>
      <c r="AC103" s="12" t="str">
        <f aca="false">IF($A103="","",INDEX($L$4:$R$4,1,MATCH(MIN(L103:R103),L103:R103,0))&amp;IF(COUNTIF(L103:R103,MIN(L103:R103))&gt;1," (+"&amp;(COUNTIF(L103:R103,MIN(L103:R103))-1)&amp;" tied)",""))</f>
        <v/>
      </c>
      <c r="AD103" s="12" t="str">
        <f aca="false">IF($A103="","",INDEX($E$4:$K$4,1,MATCH(MAX(E103:K103),E103:K103,0))&amp;IF(COUNTIF(E103:K103,MAX(E103:K103))&gt;1," (+"&amp;(COUNTIF(E103:K103,MAX(E103:K103))-1)&amp;" tied)",""))</f>
        <v/>
      </c>
      <c r="AE103" s="12" t="str">
        <f aca="false">IF($A103="","",INDEX('Control Uplift Planner'!$B$5:$B$11,MATCH(INDEX($L$4:$R$4,1,MATCH(MIN(L103:R103),L103:R103,0)),'Control Uplift Planner'!$A$5:$A$11,0)))</f>
        <v/>
      </c>
      <c r="AF103" s="13" t="str">
        <f aca="false">IF($A103="","",IF(MIN(IF(AND(E103&gt;=4,H103&gt;=4),3,9),IF(AND(OR(C103="Governed Operations Zone",C103="Autonomous Operations Zone"),E103&gt;=3),IF(MIN(L103:N103)=0,2,IF(MIN(L103:N103)=1,3,9)),9),IF(AND(OR(C103="Governed Operations Zone",C103="Autonomous Operations Zone"),S103&lt;4),3,9))=9,"None",IF(MIN(IF(AND(E103&gt;=4,H103&gt;=4),3,9),IF(AND(OR(C103="Governed Operations Zone",C103="Autonomous Operations Zone"),E103&gt;=3),IF(MIN(L103:N103)=0,2,IF(MIN(L103:N103)=1,3,9)),9),IF(AND(OR(C103="Governed Operations Zone",C103="Autonomous Operations Zone"),S103&lt;4),3,9))=1,"Critical Orbit",IF(MIN(IF(AND(E103&gt;=4,H103&gt;=4),3,9),IF(AND(OR(C103="Governed Operations Zone",C103="Autonomous Operations Zone"),E103&gt;=3),IF(MIN(L103:N103)=0,2,IF(MIN(L103:N103)=1,3,9)),9),IF(AND(OR(C103="Governed Operations Zone",C103="Autonomous Operations Zone"),S103&lt;4),3,9))=2,"Unstable Orbit","Edge Orbit"))))</f>
        <v/>
      </c>
      <c r="AG103" s="14" t="str">
        <f aca="false">IF($A103="","",IF(IF(AND(E103&gt;=4,H103&gt;=4),"R1 concentrated force; ","")&amp;IF(AND(OR(C103="Governed Operations Zone",C103="Autonomous Operations Zone"),E103&gt;=3,MIN(L103:N103)&lt;=1),"R2 mandatory control "&amp;INDEX($L$4:$N$4,1,MATCH(MIN(L103:N103),L103:N103,0))&amp;"="&amp;MIN(L103:N103)&amp;"; ","")&amp;IF(AND(OR(C103="Governed Operations Zone",C103="Autonomous Operations Zone"),S103&lt;4),"R3 evidence tier "&amp;S103&amp;"&lt;4; ","")="","-",IF(AND(E103&gt;=4,H103&gt;=4),"R1 concentrated force; ","")&amp;IF(AND(OR(C103="Governed Operations Zone",C103="Autonomous Operations Zone"),E103&gt;=3,MIN(L103:N103)&lt;=1),"R2 mandatory control "&amp;INDEX($L$4:$N$4,1,MATCH(MIN(L103:N103),L103:N103,0))&amp;"="&amp;MIN(L103:N103)&amp;"; ","")&amp;IF(AND(OR(C103="Governed Operations Zone",C103="Autonomous Operations Zone"),S103&lt;4),"R3 evidence tier "&amp;S103&amp;"&lt;4; ","")))</f>
        <v/>
      </c>
      <c r="AH103" s="14" t="str">
        <f aca="false">IF($A103="","",IF(MIN(IF(X103="Critical Orbit",1,IF(X103="Unstable Orbit",2,IF(X103="Edge Orbit",3,IF(X103="Controlled Orbit",4,5)))),IF(AF103="None",9,IF(AF103="Critical Orbit",1,IF(AF103="Unstable Orbit",2,IF(AF103="Edge Orbit",3,IF(AF103="Controlled Orbit",4,5))))))=1,"Critical Orbit",IF(MIN(IF(X103="Critical Orbit",1,IF(X103="Unstable Orbit",2,IF(X103="Edge Orbit",3,IF(X103="Controlled Orbit",4,5)))),IF(AF103="None",9,IF(AF103="Critical Orbit",1,IF(AF103="Unstable Orbit",2,IF(AF103="Edge Orbit",3,IF(AF103="Controlled Orbit",4,5))))))=2,"Unstable Orbit",IF(MIN(IF(X103="Critical Orbit",1,IF(X103="Unstable Orbit",2,IF(X103="Edge Orbit",3,IF(X103="Controlled Orbit",4,5)))),IF(AF103="None",9,IF(AF103="Critical Orbit",1,IF(AF103="Unstable Orbit",2,IF(AF103="Edge Orbit",3,IF(AF103="Controlled Orbit",4,5))))))=3,"Edge Orbit",IF(MIN(IF(X103="Critical Orbit",1,IF(X103="Unstable Orbit",2,IF(X103="Edge Orbit",3,IF(X103="Controlled Orbit",4,5)))),IF(AF103="None",9,IF(AF103="Critical Orbit",1,IF(AF103="Unstable Orbit",2,IF(AF103="Edge Orbit",3,IF(AF103="Controlled Orbit",4,5))))))=4,"Controlled Orbit","Stable Orbit")))))</f>
        <v/>
      </c>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12" t="str">
        <f aca="false">IF($A104="","",IF(AND(MAX(L104:R104)&gt;3,S104&lt;3),"Warning: EGI &gt;3 needs Tier 3+ evidence",IF(AND(C104="Autonomous Operations Zone",S104&lt;4),"Warning: Autonomous zone needs Tier 4 evidence","OK")))</f>
        <v/>
      </c>
      <c r="U104" s="10" t="str">
        <f aca="false">IF($A104="","",IF($D104="Basic",SUM(E104:K104)/35*100,SUMPRODUCT(E104:K104,INDEX('Weighted Scoring'!$B$5:$H$13,MATCH($B104,'Weighted Scoring'!$A$5:$A$13,0),0))/SUMPRODUCT(5,INDEX('Weighted Scoring'!$B$5:$H$13,MATCH($B104,'Weighted Scoring'!$A$5:$A$13,0),0))*100))</f>
        <v/>
      </c>
      <c r="V104" s="10" t="str">
        <f aca="false">IF($A104="","",IF($D104="Basic",SUM(L104:R104)/35*100,SUMPRODUCT(L104:R104,INDEX('Weighted Scoring'!$I$5:$O$13,MATCH($B104,'Weighted Scoring'!$A$5:$A$13,0),0))/SUMPRODUCT(5,INDEX('Weighted Scoring'!$I$5:$O$13,MATCH($B104,'Weighted Scoring'!$A$5:$A$13,0),0))*100))</f>
        <v/>
      </c>
      <c r="W104" s="10" t="str">
        <f aca="false">IF($A104="","",V104-U104)</f>
        <v/>
      </c>
      <c r="X104" s="12" t="str">
        <f aca="false">IF($A104="","",IF(W104&gt;=40,"Stable Orbit",IF(W104&gt;=15,"Controlled Orbit",IF(W104&gt;=-14,"Edge Orbit",IF(W104&gt;=-39,"Unstable Orbit","Critical Orbit")))))</f>
        <v/>
      </c>
      <c r="Y104" s="12" t="str">
        <f aca="false">IF($A104="","",INDEX('Deployment Gates'!$C$5:$C$9,MATCH(AH104,'Deployment Gates'!$A$5:$A$9,0)))</f>
        <v/>
      </c>
      <c r="Z104" s="3"/>
      <c r="AA104" s="12" t="str">
        <f aca="false">IF($A104="","",IF(OR(AH104="Edge Orbit",AH104="Unstable Orbit",AH104="Critical Orbit",H104&gt;=4,G104&gt;=4,E104&gt;=4,J104&gt;=4),"Yes","No"))</f>
        <v/>
      </c>
      <c r="AB104" s="12" t="str">
        <f aca="false">IF($A104="","",IF(W104&lt;0,"Yes","No"))</f>
        <v/>
      </c>
      <c r="AC104" s="12" t="str">
        <f aca="false">IF($A104="","",INDEX($L$4:$R$4,1,MATCH(MIN(L104:R104),L104:R104,0))&amp;IF(COUNTIF(L104:R104,MIN(L104:R104))&gt;1," (+"&amp;(COUNTIF(L104:R104,MIN(L104:R104))-1)&amp;" tied)",""))</f>
        <v/>
      </c>
      <c r="AD104" s="12" t="str">
        <f aca="false">IF($A104="","",INDEX($E$4:$K$4,1,MATCH(MAX(E104:K104),E104:K104,0))&amp;IF(COUNTIF(E104:K104,MAX(E104:K104))&gt;1," (+"&amp;(COUNTIF(E104:K104,MAX(E104:K104))-1)&amp;" tied)",""))</f>
        <v/>
      </c>
      <c r="AE104" s="12" t="str">
        <f aca="false">IF($A104="","",INDEX('Control Uplift Planner'!$B$5:$B$11,MATCH(INDEX($L$4:$R$4,1,MATCH(MIN(L104:R104),L104:R104,0)),'Control Uplift Planner'!$A$5:$A$11,0)))</f>
        <v/>
      </c>
      <c r="AF104" s="13" t="str">
        <f aca="false">IF($A104="","",IF(MIN(IF(AND(E104&gt;=4,H104&gt;=4),3,9),IF(AND(OR(C104="Governed Operations Zone",C104="Autonomous Operations Zone"),E104&gt;=3),IF(MIN(L104:N104)=0,2,IF(MIN(L104:N104)=1,3,9)),9),IF(AND(OR(C104="Governed Operations Zone",C104="Autonomous Operations Zone"),S104&lt;4),3,9))=9,"None",IF(MIN(IF(AND(E104&gt;=4,H104&gt;=4),3,9),IF(AND(OR(C104="Governed Operations Zone",C104="Autonomous Operations Zone"),E104&gt;=3),IF(MIN(L104:N104)=0,2,IF(MIN(L104:N104)=1,3,9)),9),IF(AND(OR(C104="Governed Operations Zone",C104="Autonomous Operations Zone"),S104&lt;4),3,9))=1,"Critical Orbit",IF(MIN(IF(AND(E104&gt;=4,H104&gt;=4),3,9),IF(AND(OR(C104="Governed Operations Zone",C104="Autonomous Operations Zone"),E104&gt;=3),IF(MIN(L104:N104)=0,2,IF(MIN(L104:N104)=1,3,9)),9),IF(AND(OR(C104="Governed Operations Zone",C104="Autonomous Operations Zone"),S104&lt;4),3,9))=2,"Unstable Orbit","Edge Orbit"))))</f>
        <v/>
      </c>
      <c r="AG104" s="14" t="str">
        <f aca="false">IF($A104="","",IF(IF(AND(E104&gt;=4,H104&gt;=4),"R1 concentrated force; ","")&amp;IF(AND(OR(C104="Governed Operations Zone",C104="Autonomous Operations Zone"),E104&gt;=3,MIN(L104:N104)&lt;=1),"R2 mandatory control "&amp;INDEX($L$4:$N$4,1,MATCH(MIN(L104:N104),L104:N104,0))&amp;"="&amp;MIN(L104:N104)&amp;"; ","")&amp;IF(AND(OR(C104="Governed Operations Zone",C104="Autonomous Operations Zone"),S104&lt;4),"R3 evidence tier "&amp;S104&amp;"&lt;4; ","")="","-",IF(AND(E104&gt;=4,H104&gt;=4),"R1 concentrated force; ","")&amp;IF(AND(OR(C104="Governed Operations Zone",C104="Autonomous Operations Zone"),E104&gt;=3,MIN(L104:N104)&lt;=1),"R2 mandatory control "&amp;INDEX($L$4:$N$4,1,MATCH(MIN(L104:N104),L104:N104,0))&amp;"="&amp;MIN(L104:N104)&amp;"; ","")&amp;IF(AND(OR(C104="Governed Operations Zone",C104="Autonomous Operations Zone"),S104&lt;4),"R3 evidence tier "&amp;S104&amp;"&lt;4; ","")))</f>
        <v/>
      </c>
      <c r="AH104" s="14" t="str">
        <f aca="false">IF($A104="","",IF(MIN(IF(X104="Critical Orbit",1,IF(X104="Unstable Orbit",2,IF(X104="Edge Orbit",3,IF(X104="Controlled Orbit",4,5)))),IF(AF104="None",9,IF(AF104="Critical Orbit",1,IF(AF104="Unstable Orbit",2,IF(AF104="Edge Orbit",3,IF(AF104="Controlled Orbit",4,5))))))=1,"Critical Orbit",IF(MIN(IF(X104="Critical Orbit",1,IF(X104="Unstable Orbit",2,IF(X104="Edge Orbit",3,IF(X104="Controlled Orbit",4,5)))),IF(AF104="None",9,IF(AF104="Critical Orbit",1,IF(AF104="Unstable Orbit",2,IF(AF104="Edge Orbit",3,IF(AF104="Controlled Orbit",4,5))))))=2,"Unstable Orbit",IF(MIN(IF(X104="Critical Orbit",1,IF(X104="Unstable Orbit",2,IF(X104="Edge Orbit",3,IF(X104="Controlled Orbit",4,5)))),IF(AF104="None",9,IF(AF104="Critical Orbit",1,IF(AF104="Unstable Orbit",2,IF(AF104="Edge Orbit",3,IF(AF104="Controlled Orbit",4,5))))))=3,"Edge Orbit",IF(MIN(IF(X104="Critical Orbit",1,IF(X104="Unstable Orbit",2,IF(X104="Edge Orbit",3,IF(X104="Controlled Orbit",4,5)))),IF(AF104="None",9,IF(AF104="Critical Orbit",1,IF(AF104="Unstable Orbit",2,IF(AF104="Edge Orbit",3,IF(AF104="Controlled Orbit",4,5))))))=4,"Controlled Orbit","Stable Orbit")))))</f>
        <v/>
      </c>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conditionalFormatting sqref="AH5:AH104">
    <cfRule type="expression" priority="2" aboveAverage="0" equalAverage="0" bottom="0" percent="0" rank="0" text="" dxfId="0">
      <formula>AH5="Edge Orbit"</formula>
    </cfRule>
    <cfRule type="expression" priority="3" aboveAverage="0" equalAverage="0" bottom="0" percent="0" rank="0" text="" dxfId="1">
      <formula>OR(AH5="Unstable Orbit",AH5="Critical Orbit")</formula>
    </cfRule>
  </conditionalFormatting>
  <conditionalFormatting sqref="W5:W104">
    <cfRule type="cellIs" priority="4" operator="lessThan" aboveAverage="0" equalAverage="0" bottom="0" percent="0" rank="0" text="" dxfId="1">
      <formula>0</formula>
    </cfRule>
  </conditionalFormatting>
  <conditionalFormatting sqref="X5:X104">
    <cfRule type="expression" priority="5" aboveAverage="0" equalAverage="0" bottom="0" percent="0" rank="0" text="" dxfId="0">
      <formula>X5="Edge Orbit"</formula>
    </cfRule>
    <cfRule type="expression" priority="6" aboveAverage="0" equalAverage="0" bottom="0" percent="0" rank="0" text="" dxfId="1">
      <formula>OR(X5="Unstable Orbit",X5="Critical Orbit")</formula>
    </cfRule>
  </conditionalFormatting>
  <conditionalFormatting sqref="T5:T104">
    <cfRule type="expression" priority="7" aboveAverage="0" equalAverage="0" bottom="0" percent="0" rank="0" text="" dxfId="1">
      <formula>LEFT(T5,7)="Warning"</formula>
    </cfRule>
  </conditionalFormatting>
  <conditionalFormatting sqref="AF5:AF104">
    <cfRule type="expression" priority="8" aboveAverage="0" equalAverage="0" bottom="0" percent="0" rank="0" text="" dxfId="0">
      <formula>AF5&lt;&gt;"None"</formula>
    </cfRule>
  </conditionalFormatting>
  <dataValidations count="6">
    <dataValidation allowBlank="false" errorStyle="stop" operator="between" showDropDown="false" showErrorMessage="false" showInputMessage="false" sqref="D5:D104" type="list">
      <formula1>"Basic,Advanced"</formula1>
      <formula2>0</formula2>
    </dataValidation>
    <dataValidation allowBlank="false" errorStyle="stop" operator="between" showDropDown="false" showErrorMessage="false" showInputMessage="false" sqref="S5:S104" type="list">
      <formula1>"0,1,2,3,4,5"</formula1>
      <formula2>0</formula2>
    </dataValidation>
    <dataValidation allowBlank="false" errorStyle="stop" operator="between" showDropDown="false" showErrorMessage="false" showInputMessage="false" sqref="Z5:Z104" type="list">
      <formula1>"Yes,No"</formula1>
      <formula2>0</formula2>
    </dataValidation>
    <dataValidation allowBlank="false" errorStyle="stop" operator="between" showDropDown="false" showErrorMessage="false" showInputMessage="false" sqref="B5:B104" type="list">
      <formula1>'Weighted Scoring'!$A$5:$A$13</formula1>
      <formula2>0</formula2>
    </dataValidation>
    <dataValidation allowBlank="false" errorStyle="stop" operator="between" showDropDown="false" showErrorMessage="false" showInputMessage="false" sqref="C5:C104" type="list">
      <formula1>"Sandbox Zone,Assisted Zone,Governed Operations Zone,Autonomous Operations Zone"</formula1>
      <formula2>0</formula2>
    </dataValidation>
    <dataValidation allowBlank="true" errorStyle="stop" operator="between" showDropDown="false" showErrorMessage="false" showInputMessage="false" sqref="E5:R104" type="list">
      <formula1>"0,1,2,3,4,5"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4" min="2" style="1" width="16"/>
    <col collapsed="false" customWidth="true" hidden="false" outlineLevel="0" max="5" min="5" style="1" width="18"/>
    <col collapsed="false" customWidth="true" hidden="false" outlineLevel="0" max="6" min="6" style="1" width="14"/>
    <col collapsed="false" customWidth="true" hidden="false" outlineLevel="0" max="8" min="7" style="1" width="20"/>
    <col collapsed="false" customWidth="true" hidden="false" outlineLevel="0" max="9" min="9" style="1" width="14"/>
    <col collapsed="false" customWidth="true" hidden="false" outlineLevel="0" max="10" min="10" style="1" width="16"/>
    <col collapsed="false" customWidth="true" hidden="false" outlineLevel="0" max="11" min="11" style="1" width="18"/>
    <col collapsed="false" customWidth="true" hidden="false" outlineLevel="0" max="12" min="12" style="1" width="16"/>
    <col collapsed="false" customWidth="true" hidden="false" outlineLevel="0" max="13" min="13" style="1" width="22"/>
    <col collapsed="false" customWidth="true" hidden="false" outlineLevel="0" max="15" min="14" style="1" width="20"/>
  </cols>
  <sheetData>
    <row r="1" customFormat="false" ht="38.25" hidden="false" customHeight="true" outlineLevel="0" collapsed="false">
      <c r="A1" s="2" t="s">
        <v>85</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24" hidden="false" customHeight="true" outlineLevel="0" collapsed="false">
      <c r="A2" s="4" t="s">
        <v>86</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38</v>
      </c>
      <c r="B4" s="5" t="s">
        <v>41</v>
      </c>
      <c r="C4" s="5" t="s">
        <v>42</v>
      </c>
      <c r="D4" s="5" t="s">
        <v>43</v>
      </c>
      <c r="E4" s="5" t="s">
        <v>44</v>
      </c>
      <c r="F4" s="5" t="s">
        <v>45</v>
      </c>
      <c r="G4" s="5" t="s">
        <v>46</v>
      </c>
      <c r="H4" s="5" t="s">
        <v>47</v>
      </c>
      <c r="I4" s="5" t="s">
        <v>48</v>
      </c>
      <c r="J4" s="5" t="s">
        <v>49</v>
      </c>
      <c r="K4" s="5" t="s">
        <v>50</v>
      </c>
      <c r="L4" s="5" t="s">
        <v>51</v>
      </c>
      <c r="M4" s="5" t="s">
        <v>52</v>
      </c>
      <c r="N4" s="5" t="s">
        <v>53</v>
      </c>
      <c r="O4" s="5" t="s">
        <v>54</v>
      </c>
      <c r="P4" s="3"/>
      <c r="Q4" s="3"/>
      <c r="R4" s="3"/>
      <c r="S4" s="3"/>
      <c r="T4" s="3"/>
      <c r="U4" s="3"/>
      <c r="V4" s="3"/>
      <c r="W4" s="3"/>
      <c r="X4" s="3"/>
      <c r="Y4" s="3"/>
      <c r="Z4" s="3"/>
      <c r="AA4" s="3"/>
      <c r="AB4" s="3"/>
      <c r="AC4" s="3"/>
      <c r="AD4" s="3"/>
      <c r="AE4" s="3"/>
      <c r="AF4" s="3"/>
    </row>
    <row r="5" customFormat="false" ht="15" hidden="false" customHeight="true" outlineLevel="0" collapsed="false">
      <c r="A5" s="12" t="s">
        <v>67</v>
      </c>
      <c r="B5" s="10" t="n">
        <v>1</v>
      </c>
      <c r="C5" s="10" t="n">
        <v>1</v>
      </c>
      <c r="D5" s="10" t="n">
        <v>1</v>
      </c>
      <c r="E5" s="10" t="n">
        <v>1</v>
      </c>
      <c r="F5" s="10" t="n">
        <v>1</v>
      </c>
      <c r="G5" s="10" t="n">
        <v>1</v>
      </c>
      <c r="H5" s="10" t="n">
        <v>1</v>
      </c>
      <c r="I5" s="10" t="n">
        <v>1</v>
      </c>
      <c r="J5" s="10" t="n">
        <v>1</v>
      </c>
      <c r="K5" s="10" t="n">
        <v>1</v>
      </c>
      <c r="L5" s="10" t="n">
        <v>1</v>
      </c>
      <c r="M5" s="10" t="n">
        <v>1</v>
      </c>
      <c r="N5" s="10" t="n">
        <v>1</v>
      </c>
      <c r="O5" s="10" t="n">
        <v>1</v>
      </c>
      <c r="P5" s="3"/>
      <c r="Q5" s="3"/>
      <c r="R5" s="3"/>
      <c r="S5" s="3"/>
      <c r="T5" s="3"/>
      <c r="U5" s="3"/>
      <c r="V5" s="3"/>
      <c r="W5" s="3"/>
      <c r="X5" s="3"/>
      <c r="Y5" s="3"/>
      <c r="Z5" s="3"/>
      <c r="AA5" s="3"/>
      <c r="AB5" s="3"/>
      <c r="AC5" s="3"/>
      <c r="AD5" s="3"/>
      <c r="AE5" s="3"/>
      <c r="AF5" s="3"/>
    </row>
    <row r="6" customFormat="false" ht="15" hidden="false" customHeight="true" outlineLevel="0" collapsed="false">
      <c r="A6" s="12" t="s">
        <v>87</v>
      </c>
      <c r="B6" s="10" t="n">
        <v>1.4</v>
      </c>
      <c r="C6" s="10" t="n">
        <v>1</v>
      </c>
      <c r="D6" s="10" t="n">
        <v>1.5</v>
      </c>
      <c r="E6" s="10" t="n">
        <v>1.4</v>
      </c>
      <c r="F6" s="10" t="n">
        <v>1.2</v>
      </c>
      <c r="G6" s="10" t="n">
        <v>1</v>
      </c>
      <c r="H6" s="10" t="n">
        <v>1</v>
      </c>
      <c r="I6" s="10" t="n">
        <v>1.2</v>
      </c>
      <c r="J6" s="10" t="n">
        <v>1.4</v>
      </c>
      <c r="K6" s="10" t="n">
        <v>1.8</v>
      </c>
      <c r="L6" s="10" t="n">
        <v>1.6</v>
      </c>
      <c r="M6" s="10" t="n">
        <v>1.6</v>
      </c>
      <c r="N6" s="10" t="n">
        <v>1.1</v>
      </c>
      <c r="O6" s="10" t="n">
        <v>1.4</v>
      </c>
      <c r="P6" s="3"/>
      <c r="Q6" s="3"/>
      <c r="R6" s="3"/>
      <c r="S6" s="3"/>
      <c r="T6" s="3"/>
      <c r="U6" s="3"/>
      <c r="V6" s="3"/>
      <c r="W6" s="3"/>
      <c r="X6" s="3"/>
      <c r="Y6" s="3"/>
      <c r="Z6" s="3"/>
      <c r="AA6" s="3"/>
      <c r="AB6" s="3"/>
      <c r="AC6" s="3"/>
      <c r="AD6" s="3"/>
      <c r="AE6" s="3"/>
      <c r="AF6" s="3"/>
    </row>
    <row r="7" customFormat="false" ht="15" hidden="false" customHeight="true" outlineLevel="0" collapsed="false">
      <c r="A7" s="12" t="s">
        <v>76</v>
      </c>
      <c r="B7" s="10" t="n">
        <v>1.6</v>
      </c>
      <c r="C7" s="10" t="n">
        <v>1.2</v>
      </c>
      <c r="D7" s="10" t="n">
        <v>1.6</v>
      </c>
      <c r="E7" s="10" t="n">
        <v>1.8</v>
      </c>
      <c r="F7" s="10" t="n">
        <v>1.4</v>
      </c>
      <c r="G7" s="10" t="n">
        <v>1.3</v>
      </c>
      <c r="H7" s="10" t="n">
        <v>1</v>
      </c>
      <c r="I7" s="10" t="n">
        <v>1.3</v>
      </c>
      <c r="J7" s="10" t="n">
        <v>1.5</v>
      </c>
      <c r="K7" s="10" t="n">
        <v>1.9</v>
      </c>
      <c r="L7" s="10" t="n">
        <v>1.8</v>
      </c>
      <c r="M7" s="10" t="n">
        <v>1.2</v>
      </c>
      <c r="N7" s="10" t="n">
        <v>1.8</v>
      </c>
      <c r="O7" s="10" t="n">
        <v>1.7</v>
      </c>
      <c r="P7" s="3"/>
      <c r="Q7" s="3"/>
      <c r="R7" s="3"/>
      <c r="S7" s="3"/>
      <c r="T7" s="3"/>
      <c r="U7" s="3"/>
      <c r="V7" s="3"/>
      <c r="W7" s="3"/>
      <c r="X7" s="3"/>
      <c r="Y7" s="3"/>
      <c r="Z7" s="3"/>
      <c r="AA7" s="3"/>
      <c r="AB7" s="3"/>
      <c r="AC7" s="3"/>
      <c r="AD7" s="3"/>
      <c r="AE7" s="3"/>
      <c r="AF7" s="3"/>
    </row>
    <row r="8" customFormat="false" ht="15" hidden="false" customHeight="true" outlineLevel="0" collapsed="false">
      <c r="A8" s="12" t="s">
        <v>82</v>
      </c>
      <c r="B8" s="10" t="n">
        <v>1.7</v>
      </c>
      <c r="C8" s="10" t="n">
        <v>1.5</v>
      </c>
      <c r="D8" s="10" t="n">
        <v>1.8</v>
      </c>
      <c r="E8" s="10" t="n">
        <v>1.9</v>
      </c>
      <c r="F8" s="10" t="n">
        <v>1.4</v>
      </c>
      <c r="G8" s="10" t="n">
        <v>1.2</v>
      </c>
      <c r="H8" s="10" t="n">
        <v>1.2</v>
      </c>
      <c r="I8" s="10" t="n">
        <v>1.5</v>
      </c>
      <c r="J8" s="10" t="n">
        <v>1.8</v>
      </c>
      <c r="K8" s="10" t="n">
        <v>1.9</v>
      </c>
      <c r="L8" s="10" t="n">
        <v>1.8</v>
      </c>
      <c r="M8" s="10" t="n">
        <v>1.2</v>
      </c>
      <c r="N8" s="10" t="n">
        <v>2</v>
      </c>
      <c r="O8" s="10" t="n">
        <v>1.6</v>
      </c>
      <c r="P8" s="3"/>
      <c r="Q8" s="3"/>
      <c r="R8" s="3"/>
      <c r="S8" s="3"/>
      <c r="T8" s="3"/>
      <c r="U8" s="3"/>
      <c r="V8" s="3"/>
      <c r="W8" s="3"/>
      <c r="X8" s="3"/>
      <c r="Y8" s="3"/>
      <c r="Z8" s="3"/>
      <c r="AA8" s="3"/>
      <c r="AB8" s="3"/>
      <c r="AC8" s="3"/>
      <c r="AD8" s="3"/>
      <c r="AE8" s="3"/>
      <c r="AF8" s="3"/>
    </row>
    <row r="9" customFormat="false" ht="15" hidden="false" customHeight="true" outlineLevel="0" collapsed="false">
      <c r="A9" s="12" t="s">
        <v>88</v>
      </c>
      <c r="B9" s="10" t="n">
        <v>1.8</v>
      </c>
      <c r="C9" s="10" t="n">
        <v>1.6</v>
      </c>
      <c r="D9" s="10" t="n">
        <v>1.4</v>
      </c>
      <c r="E9" s="10" t="n">
        <v>1.9</v>
      </c>
      <c r="F9" s="10" t="n">
        <v>1.3</v>
      </c>
      <c r="G9" s="10" t="n">
        <v>1.2</v>
      </c>
      <c r="H9" s="10" t="n">
        <v>1</v>
      </c>
      <c r="I9" s="10" t="n">
        <v>1.8</v>
      </c>
      <c r="J9" s="10" t="n">
        <v>1.6</v>
      </c>
      <c r="K9" s="10" t="n">
        <v>2</v>
      </c>
      <c r="L9" s="10" t="n">
        <v>1.8</v>
      </c>
      <c r="M9" s="10" t="n">
        <v>1.1</v>
      </c>
      <c r="N9" s="10" t="n">
        <v>2</v>
      </c>
      <c r="O9" s="10" t="n">
        <v>1.7</v>
      </c>
      <c r="P9" s="3"/>
      <c r="Q9" s="3"/>
      <c r="R9" s="3"/>
      <c r="S9" s="3"/>
      <c r="T9" s="3"/>
      <c r="U9" s="3"/>
      <c r="V9" s="3"/>
      <c r="W9" s="3"/>
      <c r="X9" s="3"/>
      <c r="Y9" s="3"/>
      <c r="Z9" s="3"/>
      <c r="AA9" s="3"/>
      <c r="AB9" s="3"/>
      <c r="AC9" s="3"/>
      <c r="AD9" s="3"/>
      <c r="AE9" s="3"/>
      <c r="AF9" s="3"/>
    </row>
    <row r="10" customFormat="false" ht="15" hidden="false" customHeight="true" outlineLevel="0" collapsed="false">
      <c r="A10" s="12" t="s">
        <v>89</v>
      </c>
      <c r="B10" s="10" t="n">
        <v>1.3</v>
      </c>
      <c r="C10" s="10" t="n">
        <v>1.5</v>
      </c>
      <c r="D10" s="10" t="n">
        <v>1.8</v>
      </c>
      <c r="E10" s="10" t="n">
        <v>1.7</v>
      </c>
      <c r="F10" s="10" t="n">
        <v>1.2</v>
      </c>
      <c r="G10" s="10" t="n">
        <v>1.1</v>
      </c>
      <c r="H10" s="10" t="n">
        <v>1.6</v>
      </c>
      <c r="I10" s="10" t="n">
        <v>1.2</v>
      </c>
      <c r="J10" s="10" t="n">
        <v>1.8</v>
      </c>
      <c r="K10" s="10" t="n">
        <v>1.4</v>
      </c>
      <c r="L10" s="10" t="n">
        <v>1.9</v>
      </c>
      <c r="M10" s="10" t="n">
        <v>1.2</v>
      </c>
      <c r="N10" s="10" t="n">
        <v>1.2</v>
      </c>
      <c r="O10" s="10" t="n">
        <v>1.8</v>
      </c>
      <c r="P10" s="3"/>
      <c r="Q10" s="3"/>
      <c r="R10" s="3"/>
      <c r="S10" s="3"/>
      <c r="T10" s="3"/>
      <c r="U10" s="3"/>
      <c r="V10" s="3"/>
      <c r="W10" s="3"/>
      <c r="X10" s="3"/>
      <c r="Y10" s="3"/>
      <c r="Z10" s="3"/>
      <c r="AA10" s="3"/>
      <c r="AB10" s="3"/>
      <c r="AC10" s="3"/>
      <c r="AD10" s="3"/>
      <c r="AE10" s="3"/>
      <c r="AF10" s="3"/>
    </row>
    <row r="11" customFormat="false" ht="15" hidden="false" customHeight="true" outlineLevel="0" collapsed="false">
      <c r="A11" s="12" t="s">
        <v>73</v>
      </c>
      <c r="B11" s="10" t="n">
        <v>1.8</v>
      </c>
      <c r="C11" s="10" t="n">
        <v>1.2</v>
      </c>
      <c r="D11" s="10" t="n">
        <v>1.7</v>
      </c>
      <c r="E11" s="10" t="n">
        <v>2</v>
      </c>
      <c r="F11" s="10" t="n">
        <v>1.2</v>
      </c>
      <c r="G11" s="10" t="n">
        <v>1</v>
      </c>
      <c r="H11" s="10" t="n">
        <v>1.3</v>
      </c>
      <c r="I11" s="10" t="n">
        <v>1.5</v>
      </c>
      <c r="J11" s="10" t="n">
        <v>2</v>
      </c>
      <c r="K11" s="10" t="n">
        <v>1.6</v>
      </c>
      <c r="L11" s="10" t="n">
        <v>1.5</v>
      </c>
      <c r="M11" s="10" t="n">
        <v>1.8</v>
      </c>
      <c r="N11" s="10" t="n">
        <v>1.4</v>
      </c>
      <c r="O11" s="10" t="n">
        <v>2</v>
      </c>
      <c r="P11" s="3"/>
      <c r="Q11" s="3"/>
      <c r="R11" s="3"/>
      <c r="S11" s="3"/>
      <c r="T11" s="3"/>
      <c r="U11" s="3"/>
      <c r="V11" s="3"/>
      <c r="W11" s="3"/>
      <c r="X11" s="3"/>
      <c r="Y11" s="3"/>
      <c r="Z11" s="3"/>
      <c r="AA11" s="3"/>
      <c r="AB11" s="3"/>
      <c r="AC11" s="3"/>
      <c r="AD11" s="3"/>
      <c r="AE11" s="3"/>
      <c r="AF11" s="3"/>
    </row>
    <row r="12" customFormat="false" ht="15" hidden="false" customHeight="true" outlineLevel="0" collapsed="false">
      <c r="A12" s="12" t="s">
        <v>90</v>
      </c>
      <c r="B12" s="10" t="n">
        <v>1.4</v>
      </c>
      <c r="C12" s="10" t="n">
        <v>1.1</v>
      </c>
      <c r="D12" s="10" t="n">
        <v>1.7</v>
      </c>
      <c r="E12" s="10" t="n">
        <v>2</v>
      </c>
      <c r="F12" s="10" t="n">
        <v>1.2</v>
      </c>
      <c r="G12" s="10" t="n">
        <v>1</v>
      </c>
      <c r="H12" s="10" t="n">
        <v>1.6</v>
      </c>
      <c r="I12" s="10" t="n">
        <v>1.4</v>
      </c>
      <c r="J12" s="10" t="n">
        <v>2</v>
      </c>
      <c r="K12" s="10" t="n">
        <v>1.7</v>
      </c>
      <c r="L12" s="10" t="n">
        <v>1.9</v>
      </c>
      <c r="M12" s="10" t="n">
        <v>1.7</v>
      </c>
      <c r="N12" s="10" t="n">
        <v>1.3</v>
      </c>
      <c r="O12" s="10" t="n">
        <v>2</v>
      </c>
      <c r="P12" s="3"/>
      <c r="Q12" s="3"/>
      <c r="R12" s="3"/>
      <c r="S12" s="3"/>
      <c r="T12" s="3"/>
      <c r="U12" s="3"/>
      <c r="V12" s="3"/>
      <c r="W12" s="3"/>
      <c r="X12" s="3"/>
      <c r="Y12" s="3"/>
      <c r="Z12" s="3"/>
      <c r="AA12" s="3"/>
      <c r="AB12" s="3"/>
      <c r="AC12" s="3"/>
      <c r="AD12" s="3"/>
      <c r="AE12" s="3"/>
      <c r="AF12" s="3"/>
    </row>
    <row r="13" customFormat="false" ht="15" hidden="false" customHeight="true" outlineLevel="0" collapsed="false">
      <c r="A13" s="12" t="s">
        <v>79</v>
      </c>
      <c r="B13" s="10" t="n">
        <v>1.6</v>
      </c>
      <c r="C13" s="10" t="n">
        <v>1.3</v>
      </c>
      <c r="D13" s="10" t="n">
        <v>1.7</v>
      </c>
      <c r="E13" s="10" t="n">
        <v>1.8</v>
      </c>
      <c r="F13" s="10" t="n">
        <v>1.7</v>
      </c>
      <c r="G13" s="10" t="n">
        <v>2</v>
      </c>
      <c r="H13" s="10" t="n">
        <v>1.3</v>
      </c>
      <c r="I13" s="10" t="n">
        <v>1.4</v>
      </c>
      <c r="J13" s="10" t="n">
        <v>1.5</v>
      </c>
      <c r="K13" s="10" t="n">
        <v>1.8</v>
      </c>
      <c r="L13" s="10" t="n">
        <v>2</v>
      </c>
      <c r="M13" s="10" t="n">
        <v>1.9</v>
      </c>
      <c r="N13" s="10" t="n">
        <v>1.6</v>
      </c>
      <c r="O13" s="10" t="n">
        <v>1.8</v>
      </c>
      <c r="P13" s="3"/>
      <c r="Q13" s="3"/>
      <c r="R13" s="3"/>
      <c r="S13" s="3"/>
      <c r="T13" s="3"/>
      <c r="U13" s="3"/>
      <c r="V13" s="3"/>
      <c r="W13" s="3"/>
      <c r="X13" s="3"/>
      <c r="Y13" s="3"/>
      <c r="Z13" s="3"/>
      <c r="AA13" s="3"/>
      <c r="AB13" s="3"/>
      <c r="AC13" s="3"/>
      <c r="AD13" s="3"/>
      <c r="AE13" s="3"/>
      <c r="AF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24"/>
    <col collapsed="false" customWidth="true" hidden="false" outlineLevel="0" max="5" min="4" style="1" width="26"/>
    <col collapsed="false" customWidth="true" hidden="false" outlineLevel="0" max="6" min="6" style="1" width="28"/>
    <col collapsed="false" customWidth="true" hidden="false" outlineLevel="0" max="7" min="7" style="1" width="34"/>
  </cols>
  <sheetData>
    <row r="1" customFormat="false" ht="38.25" hidden="false" customHeight="true" outlineLevel="0" collapsed="false">
      <c r="A1" s="2" t="s">
        <v>91</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15" hidden="false" customHeight="true" outlineLevel="0" collapsed="false">
      <c r="A2" s="4" t="s">
        <v>92</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93</v>
      </c>
      <c r="B4" s="5" t="s">
        <v>94</v>
      </c>
      <c r="C4" s="5" t="s">
        <v>95</v>
      </c>
      <c r="D4" s="5" t="s">
        <v>96</v>
      </c>
      <c r="E4" s="5" t="s">
        <v>97</v>
      </c>
      <c r="F4" s="5" t="s">
        <v>98</v>
      </c>
      <c r="G4" s="5" t="s">
        <v>99</v>
      </c>
      <c r="H4" s="3"/>
      <c r="I4" s="3"/>
      <c r="J4" s="3"/>
      <c r="K4" s="3"/>
      <c r="L4" s="3"/>
      <c r="M4" s="3"/>
      <c r="N4" s="3"/>
      <c r="O4" s="3"/>
      <c r="P4" s="3"/>
      <c r="Q4" s="3"/>
      <c r="R4" s="3"/>
      <c r="S4" s="3"/>
      <c r="T4" s="3"/>
      <c r="U4" s="3"/>
      <c r="V4" s="3"/>
      <c r="W4" s="3"/>
      <c r="X4" s="3"/>
      <c r="Y4" s="3"/>
      <c r="Z4" s="3"/>
      <c r="AA4" s="3"/>
      <c r="AB4" s="3"/>
      <c r="AC4" s="3"/>
      <c r="AD4" s="3"/>
      <c r="AE4" s="3"/>
      <c r="AF4" s="3"/>
    </row>
    <row r="5" customFormat="false" ht="26.25" hidden="false" customHeight="true" outlineLevel="0" collapsed="false">
      <c r="A5" s="12" t="s">
        <v>41</v>
      </c>
      <c r="B5" s="12" t="s">
        <v>100</v>
      </c>
      <c r="C5" s="12" t="s">
        <v>101</v>
      </c>
      <c r="D5" s="12" t="s">
        <v>102</v>
      </c>
      <c r="E5" s="12" t="s">
        <v>103</v>
      </c>
      <c r="F5" s="12" t="s">
        <v>104</v>
      </c>
      <c r="G5" s="12" t="s">
        <v>105</v>
      </c>
      <c r="H5" s="3"/>
      <c r="I5" s="3"/>
      <c r="J5" s="3"/>
      <c r="K5" s="3"/>
      <c r="L5" s="3"/>
      <c r="M5" s="3"/>
      <c r="N5" s="3"/>
      <c r="O5" s="3"/>
      <c r="P5" s="3"/>
      <c r="Q5" s="3"/>
      <c r="R5" s="3"/>
      <c r="S5" s="3"/>
      <c r="T5" s="3"/>
      <c r="U5" s="3"/>
      <c r="V5" s="3"/>
      <c r="W5" s="3"/>
      <c r="X5" s="3"/>
      <c r="Y5" s="3"/>
      <c r="Z5" s="3"/>
      <c r="AA5" s="3"/>
      <c r="AB5" s="3"/>
      <c r="AC5" s="3"/>
      <c r="AD5" s="3"/>
      <c r="AE5" s="3"/>
      <c r="AF5" s="3"/>
    </row>
    <row r="6" customFormat="false" ht="15" hidden="false" customHeight="true" outlineLevel="0" collapsed="false">
      <c r="A6" s="12" t="s">
        <v>42</v>
      </c>
      <c r="B6" s="12" t="s">
        <v>106</v>
      </c>
      <c r="C6" s="12" t="s">
        <v>107</v>
      </c>
      <c r="D6" s="12" t="s">
        <v>108</v>
      </c>
      <c r="E6" s="12" t="s">
        <v>109</v>
      </c>
      <c r="F6" s="12" t="s">
        <v>110</v>
      </c>
      <c r="G6" s="12" t="s">
        <v>111</v>
      </c>
      <c r="H6" s="3"/>
      <c r="I6" s="3"/>
      <c r="J6" s="3"/>
      <c r="K6" s="3"/>
      <c r="L6" s="3"/>
      <c r="M6" s="3"/>
      <c r="N6" s="3"/>
      <c r="O6" s="3"/>
      <c r="P6" s="3"/>
      <c r="Q6" s="3"/>
      <c r="R6" s="3"/>
      <c r="S6" s="3"/>
      <c r="T6" s="3"/>
      <c r="U6" s="3"/>
      <c r="V6" s="3"/>
      <c r="W6" s="3"/>
      <c r="X6" s="3"/>
      <c r="Y6" s="3"/>
      <c r="Z6" s="3"/>
      <c r="AA6" s="3"/>
      <c r="AB6" s="3"/>
      <c r="AC6" s="3"/>
      <c r="AD6" s="3"/>
      <c r="AE6" s="3"/>
      <c r="AF6" s="3"/>
    </row>
    <row r="7" customFormat="false" ht="61.5" hidden="false" customHeight="true" outlineLevel="0" collapsed="false">
      <c r="A7" s="12" t="s">
        <v>43</v>
      </c>
      <c r="B7" s="12" t="s">
        <v>112</v>
      </c>
      <c r="C7" s="12" t="s">
        <v>113</v>
      </c>
      <c r="D7" s="12" t="s">
        <v>114</v>
      </c>
      <c r="E7" s="12" t="s">
        <v>115</v>
      </c>
      <c r="F7" s="12" t="s">
        <v>116</v>
      </c>
      <c r="G7" s="12" t="s">
        <v>117</v>
      </c>
      <c r="H7" s="3"/>
      <c r="I7" s="3"/>
      <c r="J7" s="3"/>
      <c r="K7" s="3"/>
      <c r="L7" s="3"/>
      <c r="M7" s="3"/>
      <c r="N7" s="3"/>
      <c r="O7" s="3"/>
      <c r="P7" s="3"/>
      <c r="Q7" s="3"/>
      <c r="R7" s="3"/>
      <c r="S7" s="3"/>
      <c r="T7" s="3"/>
      <c r="U7" s="3"/>
      <c r="V7" s="3"/>
      <c r="W7" s="3"/>
      <c r="X7" s="3"/>
      <c r="Y7" s="3"/>
      <c r="Z7" s="3"/>
      <c r="AA7" s="3"/>
      <c r="AB7" s="3"/>
      <c r="AC7" s="3"/>
      <c r="AD7" s="3"/>
      <c r="AE7" s="3"/>
      <c r="AF7" s="3"/>
    </row>
    <row r="8" customFormat="false" ht="26.25" hidden="false" customHeight="true" outlineLevel="0" collapsed="false">
      <c r="A8" s="12" t="s">
        <v>44</v>
      </c>
      <c r="B8" s="12" t="s">
        <v>118</v>
      </c>
      <c r="C8" s="12" t="s">
        <v>119</v>
      </c>
      <c r="D8" s="12" t="s">
        <v>120</v>
      </c>
      <c r="E8" s="12" t="s">
        <v>121</v>
      </c>
      <c r="F8" s="12" t="s">
        <v>122</v>
      </c>
      <c r="G8" s="12" t="s">
        <v>123</v>
      </c>
      <c r="H8" s="3"/>
      <c r="I8" s="3"/>
      <c r="J8" s="3"/>
      <c r="K8" s="3"/>
      <c r="L8" s="3"/>
      <c r="M8" s="3"/>
      <c r="N8" s="3"/>
      <c r="O8" s="3"/>
      <c r="P8" s="3"/>
      <c r="Q8" s="3"/>
      <c r="R8" s="3"/>
      <c r="S8" s="3"/>
      <c r="T8" s="3"/>
      <c r="U8" s="3"/>
      <c r="V8" s="3"/>
      <c r="W8" s="3"/>
      <c r="X8" s="3"/>
      <c r="Y8" s="3"/>
      <c r="Z8" s="3"/>
      <c r="AA8" s="3"/>
      <c r="AB8" s="3"/>
      <c r="AC8" s="3"/>
      <c r="AD8" s="3"/>
      <c r="AE8" s="3"/>
      <c r="AF8" s="3"/>
    </row>
    <row r="9" customFormat="false" ht="15" hidden="false" customHeight="true" outlineLevel="0" collapsed="false">
      <c r="A9" s="12" t="s">
        <v>45</v>
      </c>
      <c r="B9" s="12" t="s">
        <v>124</v>
      </c>
      <c r="C9" s="12" t="s">
        <v>125</v>
      </c>
      <c r="D9" s="12" t="s">
        <v>126</v>
      </c>
      <c r="E9" s="12" t="s">
        <v>127</v>
      </c>
      <c r="F9" s="12" t="s">
        <v>128</v>
      </c>
      <c r="G9" s="12" t="s">
        <v>129</v>
      </c>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12" t="s">
        <v>46</v>
      </c>
      <c r="B10" s="12" t="s">
        <v>130</v>
      </c>
      <c r="C10" s="12" t="s">
        <v>131</v>
      </c>
      <c r="D10" s="12" t="s">
        <v>132</v>
      </c>
      <c r="E10" s="12" t="s">
        <v>133</v>
      </c>
      <c r="F10" s="12" t="s">
        <v>134</v>
      </c>
      <c r="G10" s="12" t="s">
        <v>135</v>
      </c>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12" t="s">
        <v>47</v>
      </c>
      <c r="B11" s="12" t="s">
        <v>136</v>
      </c>
      <c r="C11" s="12" t="s">
        <v>137</v>
      </c>
      <c r="D11" s="12" t="s">
        <v>138</v>
      </c>
      <c r="E11" s="12" t="s">
        <v>139</v>
      </c>
      <c r="F11" s="12" t="s">
        <v>140</v>
      </c>
      <c r="G11" s="12" t="s">
        <v>141</v>
      </c>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15" t="s">
        <v>142</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45.75" hidden="false" customHeight="true" outlineLevel="0" collapsed="false">
      <c r="A17" s="16" t="s">
        <v>143</v>
      </c>
      <c r="B17" s="16"/>
      <c r="C17" s="16"/>
      <c r="D17" s="16"/>
      <c r="E17" s="16"/>
      <c r="F17" s="16"/>
      <c r="G17" s="16"/>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3">
    <mergeCell ref="A1:H1"/>
    <mergeCell ref="A2:H2"/>
    <mergeCell ref="A17:G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24"/>
    <col collapsed="false" customWidth="true" hidden="false" outlineLevel="0" max="4" min="4" style="1" width="26"/>
    <col collapsed="false" customWidth="true" hidden="false" outlineLevel="0" max="5" min="5" style="1" width="28"/>
    <col collapsed="false" customWidth="true" hidden="false" outlineLevel="0" max="6" min="6" style="1" width="32"/>
    <col collapsed="false" customWidth="true" hidden="false" outlineLevel="0" max="7" min="7" style="1" width="38"/>
  </cols>
  <sheetData>
    <row r="1" customFormat="false" ht="38.25" hidden="false" customHeight="true" outlineLevel="0" collapsed="false">
      <c r="A1" s="2" t="s">
        <v>144</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36" hidden="false" customHeight="true" outlineLevel="0" collapsed="false">
      <c r="A2" s="4" t="s">
        <v>145</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93</v>
      </c>
      <c r="B4" s="5" t="s">
        <v>94</v>
      </c>
      <c r="C4" s="5" t="s">
        <v>95</v>
      </c>
      <c r="D4" s="5" t="s">
        <v>96</v>
      </c>
      <c r="E4" s="5" t="s">
        <v>97</v>
      </c>
      <c r="F4" s="5" t="s">
        <v>98</v>
      </c>
      <c r="G4" s="5" t="s">
        <v>99</v>
      </c>
      <c r="H4" s="3"/>
      <c r="I4" s="3"/>
      <c r="J4" s="3"/>
      <c r="K4" s="3"/>
      <c r="L4" s="3"/>
      <c r="M4" s="3"/>
      <c r="N4" s="3"/>
      <c r="O4" s="3"/>
      <c r="P4" s="3"/>
      <c r="Q4" s="3"/>
      <c r="R4" s="3"/>
      <c r="S4" s="3"/>
      <c r="T4" s="3"/>
      <c r="U4" s="3"/>
      <c r="V4" s="3"/>
      <c r="W4" s="3"/>
      <c r="X4" s="3"/>
      <c r="Y4" s="3"/>
      <c r="Z4" s="3"/>
      <c r="AA4" s="3"/>
      <c r="AB4" s="3"/>
      <c r="AC4" s="3"/>
      <c r="AD4" s="3"/>
      <c r="AE4" s="3"/>
      <c r="AF4" s="3"/>
    </row>
    <row r="5" customFormat="false" ht="15" hidden="false" customHeight="true" outlineLevel="0" collapsed="false">
      <c r="A5" s="12" t="s">
        <v>48</v>
      </c>
      <c r="B5" s="12" t="s">
        <v>146</v>
      </c>
      <c r="C5" s="12" t="s">
        <v>147</v>
      </c>
      <c r="D5" s="12" t="s">
        <v>148</v>
      </c>
      <c r="E5" s="12" t="s">
        <v>149</v>
      </c>
      <c r="F5" s="12" t="s">
        <v>150</v>
      </c>
      <c r="G5" s="12" t="s">
        <v>151</v>
      </c>
      <c r="H5" s="3"/>
      <c r="I5" s="3"/>
      <c r="J5" s="3"/>
      <c r="K5" s="3"/>
      <c r="L5" s="3"/>
      <c r="M5" s="3"/>
      <c r="N5" s="3"/>
      <c r="O5" s="3"/>
      <c r="P5" s="3"/>
      <c r="Q5" s="3"/>
      <c r="R5" s="3"/>
      <c r="S5" s="3"/>
      <c r="T5" s="3"/>
      <c r="U5" s="3"/>
      <c r="V5" s="3"/>
      <c r="W5" s="3"/>
      <c r="X5" s="3"/>
      <c r="Y5" s="3"/>
      <c r="Z5" s="3"/>
      <c r="AA5" s="3"/>
      <c r="AB5" s="3"/>
      <c r="AC5" s="3"/>
      <c r="AD5" s="3"/>
      <c r="AE5" s="3"/>
      <c r="AF5" s="3"/>
    </row>
    <row r="6" customFormat="false" ht="15" hidden="false" customHeight="true" outlineLevel="0" collapsed="false">
      <c r="A6" s="12" t="s">
        <v>49</v>
      </c>
      <c r="B6" s="12" t="s">
        <v>152</v>
      </c>
      <c r="C6" s="12" t="s">
        <v>153</v>
      </c>
      <c r="D6" s="12" t="s">
        <v>154</v>
      </c>
      <c r="E6" s="12" t="s">
        <v>155</v>
      </c>
      <c r="F6" s="12" t="s">
        <v>156</v>
      </c>
      <c r="G6" s="12" t="s">
        <v>157</v>
      </c>
      <c r="H6" s="3"/>
      <c r="I6" s="3"/>
      <c r="J6" s="3"/>
      <c r="K6" s="3"/>
      <c r="L6" s="3"/>
      <c r="M6" s="3"/>
      <c r="N6" s="3"/>
      <c r="O6" s="3"/>
      <c r="P6" s="3"/>
      <c r="Q6" s="3"/>
      <c r="R6" s="3"/>
      <c r="S6" s="3"/>
      <c r="T6" s="3"/>
      <c r="U6" s="3"/>
      <c r="V6" s="3"/>
      <c r="W6" s="3"/>
      <c r="X6" s="3"/>
      <c r="Y6" s="3"/>
      <c r="Z6" s="3"/>
      <c r="AA6" s="3"/>
      <c r="AB6" s="3"/>
      <c r="AC6" s="3"/>
      <c r="AD6" s="3"/>
      <c r="AE6" s="3"/>
      <c r="AF6" s="3"/>
    </row>
    <row r="7" customFormat="false" ht="15" hidden="false" customHeight="true" outlineLevel="0" collapsed="false">
      <c r="A7" s="12" t="s">
        <v>50</v>
      </c>
      <c r="B7" s="12" t="s">
        <v>158</v>
      </c>
      <c r="C7" s="12" t="s">
        <v>159</v>
      </c>
      <c r="D7" s="12" t="s">
        <v>160</v>
      </c>
      <c r="E7" s="12" t="s">
        <v>161</v>
      </c>
      <c r="F7" s="12" t="s">
        <v>162</v>
      </c>
      <c r="G7" s="12" t="s">
        <v>163</v>
      </c>
      <c r="H7" s="3"/>
      <c r="I7" s="3"/>
      <c r="J7" s="3"/>
      <c r="K7" s="3"/>
      <c r="L7" s="3"/>
      <c r="M7" s="3"/>
      <c r="N7" s="3"/>
      <c r="O7" s="3"/>
      <c r="P7" s="3"/>
      <c r="Q7" s="3"/>
      <c r="R7" s="3"/>
      <c r="S7" s="3"/>
      <c r="T7" s="3"/>
      <c r="U7" s="3"/>
      <c r="V7" s="3"/>
      <c r="W7" s="3"/>
      <c r="X7" s="3"/>
      <c r="Y7" s="3"/>
      <c r="Z7" s="3"/>
      <c r="AA7" s="3"/>
      <c r="AB7" s="3"/>
      <c r="AC7" s="3"/>
      <c r="AD7" s="3"/>
      <c r="AE7" s="3"/>
      <c r="AF7" s="3"/>
    </row>
    <row r="8" customFormat="false" ht="15" hidden="false" customHeight="true" outlineLevel="0" collapsed="false">
      <c r="A8" s="12" t="s">
        <v>51</v>
      </c>
      <c r="B8" s="12" t="s">
        <v>164</v>
      </c>
      <c r="C8" s="12" t="s">
        <v>165</v>
      </c>
      <c r="D8" s="12" t="s">
        <v>166</v>
      </c>
      <c r="E8" s="12" t="s">
        <v>167</v>
      </c>
      <c r="F8" s="12" t="s">
        <v>168</v>
      </c>
      <c r="G8" s="12" t="s">
        <v>169</v>
      </c>
      <c r="H8" s="3"/>
      <c r="I8" s="3"/>
      <c r="J8" s="3"/>
      <c r="K8" s="3"/>
      <c r="L8" s="3"/>
      <c r="M8" s="3"/>
      <c r="N8" s="3"/>
      <c r="O8" s="3"/>
      <c r="P8" s="3"/>
      <c r="Q8" s="3"/>
      <c r="R8" s="3"/>
      <c r="S8" s="3"/>
      <c r="T8" s="3"/>
      <c r="U8" s="3"/>
      <c r="V8" s="3"/>
      <c r="W8" s="3"/>
      <c r="X8" s="3"/>
      <c r="Y8" s="3"/>
      <c r="Z8" s="3"/>
      <c r="AA8" s="3"/>
      <c r="AB8" s="3"/>
      <c r="AC8" s="3"/>
      <c r="AD8" s="3"/>
      <c r="AE8" s="3"/>
      <c r="AF8" s="3"/>
    </row>
    <row r="9" customFormat="false" ht="26.25" hidden="false" customHeight="true" outlineLevel="0" collapsed="false">
      <c r="A9" s="12" t="s">
        <v>52</v>
      </c>
      <c r="B9" s="12" t="s">
        <v>170</v>
      </c>
      <c r="C9" s="12" t="s">
        <v>171</v>
      </c>
      <c r="D9" s="12" t="s">
        <v>172</v>
      </c>
      <c r="E9" s="12" t="s">
        <v>173</v>
      </c>
      <c r="F9" s="12" t="s">
        <v>174</v>
      </c>
      <c r="G9" s="12" t="s">
        <v>175</v>
      </c>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12" t="s">
        <v>53</v>
      </c>
      <c r="B10" s="12" t="s">
        <v>176</v>
      </c>
      <c r="C10" s="12" t="s">
        <v>177</v>
      </c>
      <c r="D10" s="12" t="s">
        <v>178</v>
      </c>
      <c r="E10" s="12" t="s">
        <v>179</v>
      </c>
      <c r="F10" s="12" t="s">
        <v>180</v>
      </c>
      <c r="G10" s="12" t="s">
        <v>181</v>
      </c>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26.25" hidden="false" customHeight="true" outlineLevel="0" collapsed="false">
      <c r="A11" s="12" t="s">
        <v>54</v>
      </c>
      <c r="B11" s="12" t="s">
        <v>182</v>
      </c>
      <c r="C11" s="12" t="s">
        <v>183</v>
      </c>
      <c r="D11" s="12" t="s">
        <v>184</v>
      </c>
      <c r="E11" s="12" t="s">
        <v>185</v>
      </c>
      <c r="F11" s="12" t="s">
        <v>186</v>
      </c>
      <c r="G11" s="12" t="s">
        <v>187</v>
      </c>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8"/>
    <col collapsed="false" customWidth="true" hidden="false" outlineLevel="0" max="3" min="3" style="1" width="30"/>
    <col collapsed="false" customWidth="true" hidden="false" outlineLevel="0" max="4" min="4" style="1" width="50"/>
  </cols>
  <sheetData>
    <row r="1" customFormat="false" ht="57" hidden="false" customHeight="true" outlineLevel="0" collapsed="false">
      <c r="A1" s="2" t="s">
        <v>188</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60" hidden="false" customHeight="true" outlineLevel="0" collapsed="false">
      <c r="A2" s="4" t="s">
        <v>189</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190</v>
      </c>
      <c r="B4" s="5" t="s">
        <v>191</v>
      </c>
      <c r="C4" s="5" t="s">
        <v>192</v>
      </c>
      <c r="D4" s="5" t="s">
        <v>193</v>
      </c>
      <c r="E4" s="3"/>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15" hidden="false" customHeight="true" outlineLevel="0" collapsed="false">
      <c r="A5" s="12" t="n">
        <v>0</v>
      </c>
      <c r="B5" s="12" t="s">
        <v>194</v>
      </c>
      <c r="C5" s="12" t="s">
        <v>195</v>
      </c>
      <c r="D5" s="12" t="s">
        <v>196</v>
      </c>
      <c r="E5" s="3"/>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15" hidden="false" customHeight="true" outlineLevel="0" collapsed="false">
      <c r="A6" s="12" t="n">
        <v>1</v>
      </c>
      <c r="B6" s="12" t="s">
        <v>197</v>
      </c>
      <c r="C6" s="12" t="s">
        <v>198</v>
      </c>
      <c r="D6" s="12" t="s">
        <v>199</v>
      </c>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15" hidden="false" customHeight="true" outlineLevel="0" collapsed="false">
      <c r="A7" s="12" t="n">
        <v>2</v>
      </c>
      <c r="B7" s="12" t="s">
        <v>200</v>
      </c>
      <c r="C7" s="12" t="s">
        <v>201</v>
      </c>
      <c r="D7" s="12" t="s">
        <v>202</v>
      </c>
      <c r="E7" s="3"/>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15" hidden="false" customHeight="true" outlineLevel="0" collapsed="false">
      <c r="A8" s="12" t="n">
        <v>3</v>
      </c>
      <c r="B8" s="12" t="s">
        <v>203</v>
      </c>
      <c r="C8" s="12" t="s">
        <v>204</v>
      </c>
      <c r="D8" s="12" t="s">
        <v>205</v>
      </c>
      <c r="E8" s="3"/>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15" hidden="false" customHeight="true" outlineLevel="0" collapsed="false">
      <c r="A9" s="12" t="n">
        <v>4</v>
      </c>
      <c r="B9" s="12" t="s">
        <v>206</v>
      </c>
      <c r="C9" s="12" t="s">
        <v>207</v>
      </c>
      <c r="D9" s="12" t="s">
        <v>208</v>
      </c>
      <c r="E9" s="3"/>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12" t="n">
        <v>5</v>
      </c>
      <c r="B10" s="12" t="s">
        <v>209</v>
      </c>
      <c r="C10" s="12" t="s">
        <v>210</v>
      </c>
      <c r="D10" s="12" t="s">
        <v>211</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5" t="s">
        <v>212</v>
      </c>
      <c r="B12" s="5" t="s">
        <v>213</v>
      </c>
      <c r="C12" s="5" t="s">
        <v>214</v>
      </c>
      <c r="D12" s="5" t="s">
        <v>215</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12" t="s">
        <v>216</v>
      </c>
      <c r="B13" s="12" t="s">
        <v>217</v>
      </c>
      <c r="C13" s="12" t="s">
        <v>218</v>
      </c>
      <c r="D13" s="12" t="s">
        <v>219</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39" hidden="false" customHeight="true" outlineLevel="0" collapsed="false">
      <c r="A14" s="12" t="s">
        <v>220</v>
      </c>
      <c r="B14" s="12" t="s">
        <v>221</v>
      </c>
      <c r="C14" s="12" t="s">
        <v>222</v>
      </c>
      <c r="D14" s="12" t="s">
        <v>223</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60"/>
    <col collapsed="false" customWidth="true" hidden="false" outlineLevel="0" max="5" min="3" style="1" width="18"/>
    <col collapsed="false" customWidth="true" hidden="false" outlineLevel="0" max="6" min="6" style="1" width="26"/>
  </cols>
  <sheetData>
    <row r="1" customFormat="false" ht="24" hidden="false" customHeight="true" outlineLevel="0" collapsed="false">
      <c r="A1" s="17" t="s">
        <v>224</v>
      </c>
      <c r="B1" s="18"/>
      <c r="C1" s="18"/>
      <c r="D1" s="18"/>
      <c r="E1" s="18"/>
      <c r="G1" s="1"/>
      <c r="H1" s="1"/>
      <c r="I1" s="3"/>
      <c r="J1" s="3"/>
      <c r="K1" s="3"/>
      <c r="L1" s="3"/>
      <c r="M1" s="3"/>
      <c r="N1" s="3"/>
      <c r="O1" s="3"/>
      <c r="P1" s="3"/>
      <c r="Q1" s="3"/>
      <c r="R1" s="3"/>
      <c r="S1" s="3"/>
      <c r="T1" s="3"/>
      <c r="U1" s="3"/>
      <c r="V1" s="3"/>
      <c r="W1" s="3"/>
      <c r="X1" s="3"/>
      <c r="Y1" s="3"/>
      <c r="Z1" s="3"/>
      <c r="AA1" s="3"/>
      <c r="AB1" s="3"/>
      <c r="AC1" s="3"/>
      <c r="AD1" s="3"/>
      <c r="AE1" s="3"/>
      <c r="AF1" s="3"/>
    </row>
    <row r="2" customFormat="false" ht="27.75" hidden="false" customHeight="true" outlineLevel="0" collapsed="false">
      <c r="A2" s="19" t="s">
        <v>225</v>
      </c>
      <c r="B2" s="20"/>
      <c r="C2" s="20"/>
      <c r="D2" s="20"/>
      <c r="E2" s="20"/>
      <c r="G2" s="1"/>
      <c r="H2" s="1"/>
      <c r="I2" s="3"/>
      <c r="J2" s="3"/>
      <c r="K2" s="3"/>
      <c r="L2" s="3"/>
      <c r="M2" s="3"/>
      <c r="N2" s="3"/>
      <c r="O2" s="3"/>
      <c r="P2" s="3"/>
      <c r="Q2" s="3"/>
      <c r="R2" s="3"/>
      <c r="S2" s="3"/>
      <c r="T2" s="3"/>
      <c r="U2" s="3"/>
      <c r="V2" s="3"/>
      <c r="W2" s="3"/>
      <c r="X2" s="3"/>
      <c r="Y2" s="3"/>
      <c r="Z2" s="3"/>
      <c r="AA2" s="3"/>
      <c r="AB2" s="3"/>
      <c r="AC2" s="3"/>
      <c r="AD2" s="3"/>
      <c r="AE2" s="3"/>
      <c r="AF2" s="3"/>
    </row>
    <row r="3" customFormat="false" ht="9.7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21" t="s">
        <v>226</v>
      </c>
      <c r="B4" s="21" t="s">
        <v>227</v>
      </c>
      <c r="C4" s="21" t="s">
        <v>228</v>
      </c>
      <c r="D4" s="21" t="s">
        <v>229</v>
      </c>
      <c r="E4" s="21" t="s">
        <v>230</v>
      </c>
      <c r="F4" s="21" t="s">
        <v>231</v>
      </c>
      <c r="G4" s="3"/>
      <c r="H4" s="3"/>
      <c r="I4" s="3"/>
      <c r="J4" s="3"/>
      <c r="K4" s="3"/>
      <c r="L4" s="3"/>
      <c r="M4" s="3"/>
      <c r="N4" s="3"/>
      <c r="O4" s="3"/>
      <c r="P4" s="3"/>
      <c r="Q4" s="3"/>
      <c r="R4" s="3"/>
      <c r="S4" s="3"/>
      <c r="T4" s="3"/>
      <c r="U4" s="3"/>
      <c r="V4" s="3"/>
      <c r="W4" s="3"/>
      <c r="X4" s="3"/>
      <c r="Y4" s="3"/>
      <c r="Z4" s="3"/>
      <c r="AA4" s="3"/>
      <c r="AB4" s="3"/>
      <c r="AC4" s="3"/>
      <c r="AD4" s="3"/>
      <c r="AE4" s="3"/>
      <c r="AF4" s="3"/>
    </row>
    <row r="5" customFormat="false" ht="27.75" hidden="false" customHeight="true" outlineLevel="0" collapsed="false">
      <c r="A5" s="12" t="s">
        <v>232</v>
      </c>
      <c r="B5" s="12" t="s">
        <v>233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27.75" hidden="false" customHeight="true" outlineLevel="0" collapsed="false">
      <c r="A6" s="12" t="s">
        <v>234</v>
      </c>
      <c r="B6" s="12" t="s">
        <v>235</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27.75" hidden="false" customHeight="true" outlineLevel="0" collapsed="false">
      <c r="A7" s="12" t="s">
        <v>236</v>
      </c>
      <c r="B7" s="12" t="s">
        <v>237</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27.75" hidden="false" customHeight="true" outlineLevel="0" collapsed="false">
      <c r="A8" s="12" t="s">
        <v>238</v>
      </c>
      <c r="B8" s="12" t="s">
        <v>239</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27.75" hidden="false" customHeight="true" outlineLevel="0" collapsed="false">
      <c r="A9" s="12" t="s">
        <v>240</v>
      </c>
      <c r="B9" s="12" t="s">
        <v>241</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27.75" hidden="false" customHeight="true" outlineLevel="0" collapsed="false">
      <c r="A10" s="12" t="s">
        <v>242</v>
      </c>
      <c r="B10" s="12" t="s">
        <v>243</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27.75" hidden="false" customHeight="true" outlineLevel="0" collapsed="false">
      <c r="A11" s="12" t="s">
        <v>244</v>
      </c>
      <c r="B11" s="12" t="s">
        <v>245</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27.75" hidden="false" customHeight="true" outlineLevel="0" collapsed="false">
      <c r="A12" s="12" t="s">
        <v>48</v>
      </c>
      <c r="B12" s="12" t="s">
        <v>246</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27.75" hidden="false" customHeight="true" outlineLevel="0" collapsed="false">
      <c r="A13" s="12" t="s">
        <v>49</v>
      </c>
      <c r="B13" s="12" t="s">
        <v>247</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27.75" hidden="false" customHeight="true" outlineLevel="0" collapsed="false">
      <c r="A14" s="12" t="s">
        <v>248</v>
      </c>
      <c r="B14" s="12" t="s">
        <v>249</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27.75" hidden="false" customHeight="true" outlineLevel="0" collapsed="false">
      <c r="A15" s="12" t="s">
        <v>51</v>
      </c>
      <c r="B15" s="12" t="s">
        <v>250</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27.75" hidden="false" customHeight="true" outlineLevel="0" collapsed="false">
      <c r="A16" s="12" t="s">
        <v>251</v>
      </c>
      <c r="B16" s="12" t="s">
        <v>252</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27.75" hidden="false" customHeight="true" outlineLevel="0" collapsed="false">
      <c r="A17" s="12" t="s">
        <v>253</v>
      </c>
      <c r="B17" s="12" t="s">
        <v>254</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27.75" hidden="false" customHeight="true" outlineLevel="0" collapsed="false">
      <c r="A18" s="12" t="s">
        <v>255</v>
      </c>
      <c r="B18" s="12" t="s">
        <v>256</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27.75" hidden="false" customHeight="true" outlineLevel="0" collapsed="false">
      <c r="A19" s="12" t="s">
        <v>257</v>
      </c>
      <c r="B19" s="12" t="s">
        <v>258</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27.75" hidden="false" customHeight="true" outlineLevel="0" collapsed="false">
      <c r="A20" s="22" t="s">
        <v>259</v>
      </c>
      <c r="B20" s="12" t="s">
        <v>260</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27.75" hidden="false" customHeight="true" outlineLevel="0" collapsed="false">
      <c r="A21" s="22" t="s">
        <v>261</v>
      </c>
      <c r="B21" s="12" t="s">
        <v>262</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27.75" hidden="false" customHeight="true" outlineLevel="0" collapsed="false">
      <c r="A22" s="22" t="s">
        <v>263</v>
      </c>
      <c r="B22" s="12" t="s">
        <v>264</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27.75" hidden="false" customHeight="true" outlineLevel="0" collapsed="false">
      <c r="A23" s="22" t="s">
        <v>265</v>
      </c>
      <c r="B23" s="12" t="s">
        <v>266</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15" t="s">
        <v>267</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15" t="s">
        <v>268</v>
      </c>
      <c r="B63" s="16" t="s">
        <v>269</v>
      </c>
      <c r="C63" s="16"/>
      <c r="D63" s="16"/>
      <c r="E63" s="16"/>
      <c r="F63" s="16"/>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15" t="s">
        <v>270</v>
      </c>
      <c r="B64" s="16" t="s">
        <v>271</v>
      </c>
      <c r="C64" s="16"/>
      <c r="D64" s="16"/>
      <c r="E64" s="16"/>
      <c r="F64" s="16"/>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15" t="s">
        <v>272</v>
      </c>
      <c r="B65" s="16" t="s">
        <v>273</v>
      </c>
      <c r="C65" s="16"/>
      <c r="D65" s="16"/>
      <c r="E65" s="16"/>
      <c r="F65" s="16"/>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42" hidden="false" customHeight="true" outlineLevel="0" collapsed="false">
      <c r="A67" s="23" t="s">
        <v>274</v>
      </c>
      <c r="B67" s="23"/>
      <c r="C67" s="23"/>
      <c r="D67" s="23"/>
      <c r="E67" s="23"/>
      <c r="F67" s="2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4">
    <mergeCell ref="B63:F63"/>
    <mergeCell ref="B64:F64"/>
    <mergeCell ref="B65:F65"/>
    <mergeCell ref="A67:F67"/>
  </mergeCells>
  <dataValidations count="2">
    <dataValidation allowBlank="false" errorStyle="stop" operator="between" showDropDown="false" showErrorMessage="false" showInputMessage="false" sqref="E5:E19" type="list">
      <formula1>"Not Started,In Progress,Complete,N/A"</formula1>
      <formula2>0</formula2>
    </dataValidation>
    <dataValidation allowBlank="true" errorStyle="stop" operator="between" showDropDown="false" showErrorMessage="false" showInputMessage="false" sqref="F5:F60" type="list">
      <formula1>"Self-operated,Platform-operated,Vendor-operated"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64"/>
    <col collapsed="false" customWidth="true" hidden="false" outlineLevel="0" max="4" min="3" style="1" width="14"/>
    <col collapsed="false" customWidth="true" hidden="false" outlineLevel="0" max="5" min="5" style="1" width="50"/>
    <col collapsed="false" customWidth="true" hidden="false" outlineLevel="0" max="6" min="6" style="1" width="16"/>
  </cols>
  <sheetData>
    <row r="1" customFormat="false" ht="38.25" hidden="false" customHeight="true" outlineLevel="0" collapsed="false">
      <c r="A1" s="2" t="s">
        <v>275</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48" hidden="false" customHeight="true" outlineLevel="0" collapsed="false">
      <c r="A2" s="4" t="s">
        <v>276</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277</v>
      </c>
      <c r="B4" s="5" t="s">
        <v>278</v>
      </c>
      <c r="C4" s="5" t="s">
        <v>279</v>
      </c>
      <c r="D4" s="5" t="s">
        <v>280</v>
      </c>
      <c r="E4" s="5" t="s">
        <v>281</v>
      </c>
      <c r="F4" s="5" t="s">
        <v>230</v>
      </c>
      <c r="G4" s="3"/>
      <c r="H4" s="3"/>
      <c r="I4" s="3"/>
      <c r="J4" s="3"/>
      <c r="K4" s="3"/>
      <c r="L4" s="3"/>
      <c r="M4" s="3"/>
      <c r="N4" s="3"/>
      <c r="O4" s="3"/>
      <c r="P4" s="3"/>
      <c r="Q4" s="3"/>
      <c r="R4" s="3"/>
      <c r="S4" s="3"/>
      <c r="T4" s="3"/>
      <c r="U4" s="3"/>
      <c r="V4" s="3"/>
      <c r="W4" s="3"/>
      <c r="X4" s="3"/>
      <c r="Y4" s="3"/>
      <c r="Z4" s="3"/>
      <c r="AA4" s="3"/>
      <c r="AB4" s="3"/>
      <c r="AC4" s="3"/>
      <c r="AD4" s="3"/>
      <c r="AE4" s="3"/>
      <c r="AF4" s="3"/>
    </row>
    <row r="5" customFormat="false" ht="15" hidden="false" customHeight="true" outlineLevel="0" collapsed="false">
      <c r="A5" s="12" t="s">
        <v>282</v>
      </c>
      <c r="B5" s="12" t="s">
        <v>283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15" hidden="false" customHeight="true" outlineLevel="0" collapsed="false">
      <c r="A6" s="12" t="s">
        <v>284</v>
      </c>
      <c r="B6" s="12" t="s">
        <v>285</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15" hidden="false" customHeight="true" outlineLevel="0" collapsed="false">
      <c r="A7" s="12" t="s">
        <v>286</v>
      </c>
      <c r="B7" s="12" t="s">
        <v>287</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15" hidden="false" customHeight="true" outlineLevel="0" collapsed="false">
      <c r="A8" s="12" t="s">
        <v>288</v>
      </c>
      <c r="B8" s="12" t="s">
        <v>289</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15" hidden="false" customHeight="true" outlineLevel="0" collapsed="false">
      <c r="A9" s="12" t="s">
        <v>290</v>
      </c>
      <c r="B9" s="12" t="s">
        <v>291</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12" t="s">
        <v>292</v>
      </c>
      <c r="B10" s="12" t="s">
        <v>293</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12" t="s">
        <v>294</v>
      </c>
      <c r="B11" s="12" t="s">
        <v>295</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12" t="s">
        <v>296</v>
      </c>
      <c r="B12" s="12" t="s">
        <v>297</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12" t="s">
        <v>298</v>
      </c>
      <c r="B13" s="12" t="s">
        <v>299</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12" t="s">
        <v>300</v>
      </c>
      <c r="B14" s="12" t="s">
        <v>301</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12" t="s">
        <v>302</v>
      </c>
      <c r="B15" s="12" t="s">
        <v>303</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dataValidations count="2">
    <dataValidation allowBlank="false" errorStyle="stop" operator="between" showDropDown="false" showErrorMessage="false" showInputMessage="false" sqref="C5:D15" type="list">
      <formula1>"Low,Medium,High"</formula1>
      <formula2>0</formula2>
    </dataValidation>
    <dataValidation allowBlank="false" errorStyle="stop" operator="between" showDropDown="false" showErrorMessage="false" showInputMessage="false" sqref="F5:F15" type="list">
      <formula1>"Open,Mitigated,Accepted,N/A"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2"/>
    <col collapsed="false" customWidth="true" hidden="false" outlineLevel="0" max="3" min="3" style="1" width="34"/>
    <col collapsed="false" customWidth="true" hidden="false" outlineLevel="0" max="4" min="4" style="1" width="38"/>
    <col collapsed="false" customWidth="true" hidden="false" outlineLevel="0" max="5" min="5" style="1" width="55"/>
  </cols>
  <sheetData>
    <row r="1" customFormat="false" ht="18.75" hidden="false" customHeight="true" outlineLevel="0" collapsed="false">
      <c r="A1" s="2" t="s">
        <v>304</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36" hidden="false" customHeight="true" outlineLevel="0" collapsed="false">
      <c r="A2" s="4" t="s">
        <v>305</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306</v>
      </c>
      <c r="B4" s="5" t="s">
        <v>307</v>
      </c>
      <c r="C4" s="5" t="s">
        <v>308</v>
      </c>
      <c r="D4" s="5" t="s">
        <v>309</v>
      </c>
      <c r="E4" s="5" t="s">
        <v>310</v>
      </c>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15" hidden="false" customHeight="true" outlineLevel="0" collapsed="false">
      <c r="A5" s="12" t="s">
        <v>76</v>
      </c>
      <c r="B5" s="12" t="s">
        <v>311</v>
      </c>
      <c r="C5" s="12" t="s">
        <v>312</v>
      </c>
      <c r="D5" s="12" t="s">
        <v>313</v>
      </c>
      <c r="E5" s="12" t="s">
        <v>314</v>
      </c>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26.25" hidden="false" customHeight="true" outlineLevel="0" collapsed="false">
      <c r="A6" s="12" t="s">
        <v>82</v>
      </c>
      <c r="B6" s="12" t="s">
        <v>315</v>
      </c>
      <c r="C6" s="12" t="s">
        <v>316</v>
      </c>
      <c r="D6" s="12" t="s">
        <v>317</v>
      </c>
      <c r="E6" s="12" t="s">
        <v>318</v>
      </c>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26.25" hidden="false" customHeight="true" outlineLevel="0" collapsed="false">
      <c r="A7" s="12" t="s">
        <v>88</v>
      </c>
      <c r="B7" s="12" t="s">
        <v>319</v>
      </c>
      <c r="C7" s="12" t="s">
        <v>320</v>
      </c>
      <c r="D7" s="12" t="s">
        <v>321</v>
      </c>
      <c r="E7" s="12" t="s">
        <v>322</v>
      </c>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15" hidden="false" customHeight="true" outlineLevel="0" collapsed="false">
      <c r="A8" s="12" t="s">
        <v>87</v>
      </c>
      <c r="B8" s="12" t="s">
        <v>323</v>
      </c>
      <c r="C8" s="12" t="s">
        <v>324</v>
      </c>
      <c r="D8" s="12" t="s">
        <v>325</v>
      </c>
      <c r="E8" s="12" t="s">
        <v>326</v>
      </c>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26.25" hidden="false" customHeight="true" outlineLevel="0" collapsed="false">
      <c r="A9" s="12" t="s">
        <v>89</v>
      </c>
      <c r="B9" s="12" t="s">
        <v>327</v>
      </c>
      <c r="C9" s="12" t="s">
        <v>328</v>
      </c>
      <c r="D9" s="12" t="s">
        <v>329</v>
      </c>
      <c r="E9" s="12" t="s">
        <v>330</v>
      </c>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12" t="s">
        <v>73</v>
      </c>
      <c r="B10" s="12" t="s">
        <v>331</v>
      </c>
      <c r="C10" s="12" t="s">
        <v>332</v>
      </c>
      <c r="D10" s="12" t="s">
        <v>333</v>
      </c>
      <c r="E10" s="12" t="s">
        <v>334</v>
      </c>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12" t="s">
        <v>90</v>
      </c>
      <c r="B11" s="12" t="s">
        <v>335</v>
      </c>
      <c r="C11" s="12" t="s">
        <v>336</v>
      </c>
      <c r="D11" s="12" t="s">
        <v>337</v>
      </c>
      <c r="E11" s="12" t="s">
        <v>338</v>
      </c>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12" t="s">
        <v>79</v>
      </c>
      <c r="B12" s="12" t="s">
        <v>339</v>
      </c>
      <c r="C12" s="12" t="s">
        <v>340</v>
      </c>
      <c r="D12" s="12" t="s">
        <v>341</v>
      </c>
      <c r="E12" s="12" t="s">
        <v>342</v>
      </c>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12" t="s">
        <v>67</v>
      </c>
      <c r="B13" s="12" t="s">
        <v>343</v>
      </c>
      <c r="C13" s="12" t="s">
        <v>344</v>
      </c>
      <c r="D13" s="12" t="s">
        <v>345</v>
      </c>
      <c r="E13" s="12" t="s">
        <v>346</v>
      </c>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6"/>
    <col collapsed="false" customWidth="true" hidden="false" outlineLevel="0" max="3" min="3" style="1" width="16"/>
    <col collapsed="false" customWidth="true" hidden="false" outlineLevel="0" max="4" min="4" style="1" width="62"/>
  </cols>
  <sheetData>
    <row r="1" customFormat="false" ht="17.25" hidden="false" customHeight="true" outlineLevel="0" collapsed="false">
      <c r="A1" s="24" t="s">
        <v>347</v>
      </c>
      <c r="B1" s="24"/>
      <c r="C1" s="24"/>
      <c r="D1" s="24"/>
    </row>
    <row r="2" customFormat="false" ht="51.75" hidden="false" customHeight="true" outlineLevel="0" collapsed="false">
      <c r="A2" s="25" t="s">
        <v>348</v>
      </c>
      <c r="B2" s="25"/>
      <c r="C2" s="25"/>
      <c r="D2" s="25"/>
    </row>
    <row r="4" customFormat="false" ht="15" hidden="false" customHeight="true" outlineLevel="0" collapsed="false">
      <c r="A4" s="26" t="s">
        <v>212</v>
      </c>
      <c r="B4" s="26" t="s">
        <v>349</v>
      </c>
      <c r="C4" s="26" t="s">
        <v>350</v>
      </c>
      <c r="D4" s="26" t="s">
        <v>351</v>
      </c>
    </row>
    <row r="5" customFormat="false" ht="61.5" hidden="false" customHeight="true" outlineLevel="0" collapsed="false">
      <c r="A5" s="27" t="s">
        <v>352</v>
      </c>
      <c r="B5" s="27" t="s">
        <v>353</v>
      </c>
      <c r="C5" s="27" t="s">
        <v>14</v>
      </c>
      <c r="D5" s="27" t="s">
        <v>354</v>
      </c>
    </row>
    <row r="6" customFormat="false" ht="61.5" hidden="false" customHeight="true" outlineLevel="0" collapsed="false">
      <c r="A6" s="27" t="s">
        <v>355</v>
      </c>
      <c r="B6" s="27" t="s">
        <v>356</v>
      </c>
      <c r="C6" s="27" t="s">
        <v>17</v>
      </c>
      <c r="D6" s="27" t="s">
        <v>357</v>
      </c>
    </row>
    <row r="7" customFormat="false" ht="61.5" hidden="false" customHeight="true" outlineLevel="0" collapsed="false">
      <c r="A7" s="27"/>
      <c r="B7" s="27" t="s">
        <v>358</v>
      </c>
      <c r="C7" s="27" t="s">
        <v>14</v>
      </c>
      <c r="D7" s="27" t="s">
        <v>359</v>
      </c>
    </row>
    <row r="8" customFormat="false" ht="61.5" hidden="false" customHeight="true" outlineLevel="0" collapsed="false">
      <c r="A8" s="27" t="s">
        <v>360</v>
      </c>
      <c r="B8" s="27" t="s">
        <v>361</v>
      </c>
      <c r="C8" s="27" t="s">
        <v>14</v>
      </c>
      <c r="D8" s="27" t="s">
        <v>362</v>
      </c>
    </row>
    <row r="10" customFormat="false" ht="15" hidden="false" customHeight="true" outlineLevel="0" collapsed="false">
      <c r="A10" s="28" t="s">
        <v>363</v>
      </c>
    </row>
    <row r="11" customFormat="false" ht="75.75" hidden="false" customHeight="true" outlineLevel="0" collapsed="false">
      <c r="A11" s="16" t="s">
        <v>364</v>
      </c>
      <c r="B11" s="16"/>
      <c r="C11" s="16"/>
      <c r="D11" s="16"/>
    </row>
    <row r="13" customFormat="false" ht="15" hidden="false" customHeight="true" outlineLevel="0" collapsed="false">
      <c r="A13" s="28" t="s">
        <v>365</v>
      </c>
    </row>
    <row r="14" customFormat="false" ht="15" hidden="false" customHeight="true" outlineLevel="0" collapsed="false">
      <c r="A14" s="26" t="s">
        <v>366</v>
      </c>
      <c r="B14" s="26" t="s">
        <v>192</v>
      </c>
      <c r="C14" s="26"/>
      <c r="D14" s="26"/>
    </row>
    <row r="15" customFormat="false" ht="15" hidden="false" customHeight="true" outlineLevel="0" collapsed="false">
      <c r="A15" s="27" t="s">
        <v>367</v>
      </c>
      <c r="B15" s="27" t="s">
        <v>368</v>
      </c>
      <c r="C15" s="27"/>
      <c r="D15" s="27"/>
    </row>
    <row r="16" customFormat="false" ht="23.25" hidden="false" customHeight="true" outlineLevel="0" collapsed="false">
      <c r="A16" s="27" t="s">
        <v>369</v>
      </c>
      <c r="B16" s="27" t="s">
        <v>370</v>
      </c>
      <c r="C16" s="27"/>
      <c r="D16" s="27"/>
    </row>
    <row r="17" customFormat="false" ht="23.25" hidden="false" customHeight="true" outlineLevel="0" collapsed="false">
      <c r="A17" s="27" t="s">
        <v>371</v>
      </c>
      <c r="B17" s="27" t="s">
        <v>372</v>
      </c>
      <c r="C17" s="27"/>
      <c r="D17" s="27"/>
    </row>
    <row r="18" customFormat="false" ht="34.5" hidden="false" customHeight="true" outlineLevel="0" collapsed="false">
      <c r="A18" s="27" t="s">
        <v>373</v>
      </c>
      <c r="B18" s="27" t="s">
        <v>374</v>
      </c>
      <c r="C18" s="27"/>
      <c r="D18" s="27"/>
    </row>
  </sheetData>
  <mergeCells count="3">
    <mergeCell ref="A1:D1"/>
    <mergeCell ref="A2:D2"/>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2"/>
    <col collapsed="false" customWidth="true" hidden="false" outlineLevel="0" max="3" min="3" style="1" width="28"/>
    <col collapsed="false" customWidth="true" hidden="false" outlineLevel="0" max="4" min="4" style="1" width="48"/>
  </cols>
  <sheetData>
    <row r="1" customFormat="false" ht="38.25" hidden="false" customHeight="true" outlineLevel="0" collapsed="false">
      <c r="A1" s="2" t="s">
        <v>375</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36" hidden="false" customHeight="true" outlineLevel="0" collapsed="false">
      <c r="A2" s="4" t="s">
        <v>376</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377</v>
      </c>
      <c r="B4" s="5" t="s">
        <v>214</v>
      </c>
      <c r="C4" s="5" t="s">
        <v>3</v>
      </c>
      <c r="D4" s="5" t="s">
        <v>378</v>
      </c>
      <c r="E4" s="3"/>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15" hidden="false" customHeight="true" outlineLevel="0" collapsed="false">
      <c r="A5" s="12" t="s">
        <v>379</v>
      </c>
      <c r="B5" s="12" t="s">
        <v>380</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15" hidden="false" customHeight="true" outlineLevel="0" collapsed="false">
      <c r="A6" s="12" t="s">
        <v>381</v>
      </c>
      <c r="B6" s="12" t="s">
        <v>382</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15" hidden="false" customHeight="true" outlineLevel="0" collapsed="false">
      <c r="A7" s="12" t="s">
        <v>383</v>
      </c>
      <c r="B7" s="12" t="s">
        <v>384</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15" hidden="false" customHeight="true" outlineLevel="0" collapsed="false">
      <c r="A8" s="12" t="s">
        <v>385</v>
      </c>
      <c r="B8" s="12" t="s">
        <v>386</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15" hidden="false" customHeight="true" outlineLevel="0" collapsed="false">
      <c r="A9" s="12" t="s">
        <v>387</v>
      </c>
      <c r="B9" s="12" t="s">
        <v>388</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12" t="s">
        <v>389</v>
      </c>
      <c r="B10" s="12" t="s">
        <v>390</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12" t="s">
        <v>391</v>
      </c>
      <c r="B11" s="12" t="s">
        <v>392</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12" t="s">
        <v>393</v>
      </c>
      <c r="B12" s="12" t="s">
        <v>394</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12" t="s">
        <v>395</v>
      </c>
      <c r="B13" s="12" t="s">
        <v>396</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dataValidations count="1">
    <dataValidation allowBlank="false" errorStyle="stop" operator="between" showDropDown="false" showErrorMessage="false" showInputMessage="false" sqref="C12" type="list">
      <formula1>"Accept,Reject,Defer"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2"/>
    <col collapsed="false" customWidth="true" hidden="false" outlineLevel="0" max="3" min="3" style="1" width="16"/>
    <col collapsed="false" customWidth="true" hidden="false" outlineLevel="0" max="4" min="4" style="1" width="48"/>
  </cols>
  <sheetData>
    <row r="1" customFormat="false" ht="18.75" hidden="false" customHeight="true" outlineLevel="0" collapsed="false">
      <c r="A1" s="2" t="s">
        <v>397</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24" hidden="false" customHeight="true" outlineLevel="0" collapsed="false">
      <c r="A2" s="4" t="s">
        <v>398</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399</v>
      </c>
      <c r="B4" s="5" t="s">
        <v>400</v>
      </c>
      <c r="C4" s="5" t="s">
        <v>230</v>
      </c>
      <c r="D4" s="5" t="s">
        <v>401</v>
      </c>
      <c r="E4" s="3"/>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15" hidden="false" customHeight="true" outlineLevel="0" collapsed="false">
      <c r="A5" s="12" t="s">
        <v>402</v>
      </c>
      <c r="B5" s="12" t="s">
        <v>70</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15" hidden="false" customHeight="true" outlineLevel="0" collapsed="false">
      <c r="A6" s="12" t="s">
        <v>403</v>
      </c>
      <c r="B6" s="12" t="s">
        <v>70</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15" hidden="false" customHeight="true" outlineLevel="0" collapsed="false">
      <c r="A7" s="12" t="s">
        <v>404</v>
      </c>
      <c r="B7" s="12" t="s">
        <v>70</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15" hidden="false" customHeight="true" outlineLevel="0" collapsed="false">
      <c r="A8" s="12" t="s">
        <v>405</v>
      </c>
      <c r="B8" s="12" t="s">
        <v>70</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15" hidden="false" customHeight="true" outlineLevel="0" collapsed="false">
      <c r="A9" s="12" t="s">
        <v>406</v>
      </c>
      <c r="B9" s="12" t="s">
        <v>70</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12" t="s">
        <v>407</v>
      </c>
      <c r="B10" s="12" t="s">
        <v>408</v>
      </c>
      <c r="C10" s="12" t="s">
        <v>409</v>
      </c>
      <c r="D10" s="12" t="s">
        <v>410</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12" t="s">
        <v>411</v>
      </c>
      <c r="B11" s="12" t="s">
        <v>70</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12" t="s">
        <v>412</v>
      </c>
      <c r="B12" s="12" t="s">
        <v>70</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12" t="s">
        <v>413</v>
      </c>
      <c r="B13" s="12" t="s">
        <v>70</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12" t="s">
        <v>414</v>
      </c>
      <c r="B14" s="12" t="s">
        <v>70</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12" t="s">
        <v>415</v>
      </c>
      <c r="B15" s="12" t="s">
        <v>70</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12" t="s">
        <v>416</v>
      </c>
      <c r="B16" s="12" t="s">
        <v>70</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12" t="s">
        <v>417</v>
      </c>
      <c r="B17" s="12" t="s">
        <v>70</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12" t="s">
        <v>418</v>
      </c>
      <c r="B18" s="12" t="s">
        <v>70</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12" t="s">
        <v>419</v>
      </c>
      <c r="B19" s="12" t="s">
        <v>70</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12" t="s">
        <v>420</v>
      </c>
      <c r="B20" s="12" t="s">
        <v>70</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12" t="s">
        <v>421</v>
      </c>
      <c r="B21" s="12" t="s">
        <v>70</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dataValidations count="1">
    <dataValidation allowBlank="false" errorStyle="stop" operator="between" showDropDown="false" showErrorMessage="false" showInputMessage="false" sqref="C5:C21" type="list">
      <formula1>"Not Started,In Progress,Complete,N/A"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42"/>
    <col collapsed="false" customWidth="true" hidden="false" outlineLevel="0" max="4" min="4" style="1" width="48"/>
  </cols>
  <sheetData>
    <row r="1" customFormat="false" ht="18.75" hidden="false" customHeight="true" outlineLevel="0" collapsed="false">
      <c r="A1" s="2" t="s">
        <v>422</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24" hidden="false" customHeight="true" outlineLevel="0" collapsed="false">
      <c r="A2" s="4" t="s">
        <v>423</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4</v>
      </c>
      <c r="B4" s="5" t="s">
        <v>424</v>
      </c>
      <c r="C4" s="5" t="s">
        <v>425</v>
      </c>
      <c r="D4" s="5" t="s">
        <v>426</v>
      </c>
      <c r="E4" s="3"/>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15" hidden="false" customHeight="true" outlineLevel="0" collapsed="false">
      <c r="A5" s="12" t="s">
        <v>8</v>
      </c>
      <c r="B5" s="12" t="s">
        <v>427</v>
      </c>
      <c r="C5" s="12" t="s">
        <v>428</v>
      </c>
      <c r="D5" s="12" t="s">
        <v>429</v>
      </c>
      <c r="E5" s="3"/>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15" hidden="false" customHeight="true" outlineLevel="0" collapsed="false">
      <c r="A6" s="12" t="s">
        <v>11</v>
      </c>
      <c r="B6" s="12" t="s">
        <v>430</v>
      </c>
      <c r="C6" s="12" t="s">
        <v>431</v>
      </c>
      <c r="D6" s="12" t="s">
        <v>432</v>
      </c>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15" hidden="false" customHeight="true" outlineLevel="0" collapsed="false">
      <c r="A7" s="12" t="s">
        <v>14</v>
      </c>
      <c r="B7" s="12" t="s">
        <v>433</v>
      </c>
      <c r="C7" s="12" t="s">
        <v>434</v>
      </c>
      <c r="D7" s="12" t="s">
        <v>435</v>
      </c>
      <c r="E7" s="3"/>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15" hidden="false" customHeight="true" outlineLevel="0" collapsed="false">
      <c r="A8" s="12" t="s">
        <v>17</v>
      </c>
      <c r="B8" s="12" t="s">
        <v>436</v>
      </c>
      <c r="C8" s="12" t="s">
        <v>437</v>
      </c>
      <c r="D8" s="12" t="s">
        <v>438</v>
      </c>
      <c r="E8" s="3"/>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15" hidden="false" customHeight="true" outlineLevel="0" collapsed="false">
      <c r="A9" s="12" t="s">
        <v>20</v>
      </c>
      <c r="B9" s="12" t="s">
        <v>439</v>
      </c>
      <c r="C9" s="12" t="s">
        <v>440</v>
      </c>
      <c r="D9" s="12" t="s">
        <v>441</v>
      </c>
      <c r="E9" s="3"/>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70"/>
    <col collapsed="false" customWidth="true" hidden="false" outlineLevel="0" max="3" min="3" style="1" width="48"/>
    <col collapsed="false" customWidth="true" hidden="false" outlineLevel="0" max="4" min="4" style="1" width="60"/>
  </cols>
  <sheetData>
    <row r="1" customFormat="false" ht="18.75" hidden="false" customHeight="true" outlineLevel="0" collapsed="false">
      <c r="A1" s="2" t="s">
        <v>442</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24" hidden="false" customHeight="true" outlineLevel="0" collapsed="false">
      <c r="A2" s="4" t="s">
        <v>443</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444</v>
      </c>
      <c r="B4" s="5" t="s">
        <v>445</v>
      </c>
      <c r="C4" s="5" t="s">
        <v>446</v>
      </c>
      <c r="D4" s="5" t="s">
        <v>447</v>
      </c>
      <c r="E4" s="3"/>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57.75" hidden="false" customHeight="true" outlineLevel="0" collapsed="false">
      <c r="A5" s="12" t="s">
        <v>48</v>
      </c>
      <c r="B5" s="12" t="s">
        <v>448</v>
      </c>
      <c r="C5" s="12" t="s">
        <v>449</v>
      </c>
      <c r="D5" s="29" t="s">
        <v>450</v>
      </c>
      <c r="E5" s="3"/>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57.75" hidden="false" customHeight="true" outlineLevel="0" collapsed="false">
      <c r="A6" s="12" t="s">
        <v>49</v>
      </c>
      <c r="B6" s="12" t="s">
        <v>451</v>
      </c>
      <c r="C6" s="12" t="s">
        <v>452</v>
      </c>
      <c r="D6" s="29" t="s">
        <v>450</v>
      </c>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57.75" hidden="false" customHeight="true" outlineLevel="0" collapsed="false">
      <c r="A7" s="12" t="s">
        <v>50</v>
      </c>
      <c r="B7" s="12" t="s">
        <v>453</v>
      </c>
      <c r="C7" s="12" t="s">
        <v>454</v>
      </c>
      <c r="D7" s="29" t="s">
        <v>450</v>
      </c>
      <c r="E7" s="3"/>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57.75" hidden="false" customHeight="true" outlineLevel="0" collapsed="false">
      <c r="A8" s="12" t="s">
        <v>51</v>
      </c>
      <c r="B8" s="12" t="s">
        <v>455</v>
      </c>
      <c r="C8" s="12" t="s">
        <v>456</v>
      </c>
      <c r="D8" s="29" t="s">
        <v>450</v>
      </c>
      <c r="E8" s="3"/>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57.75" hidden="false" customHeight="true" outlineLevel="0" collapsed="false">
      <c r="A9" s="12" t="s">
        <v>52</v>
      </c>
      <c r="B9" s="12" t="s">
        <v>457</v>
      </c>
      <c r="C9" s="12" t="s">
        <v>458</v>
      </c>
      <c r="D9" s="29" t="s">
        <v>450</v>
      </c>
      <c r="E9" s="3"/>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57.75" hidden="false" customHeight="true" outlineLevel="0" collapsed="false">
      <c r="A10" s="12" t="s">
        <v>53</v>
      </c>
      <c r="B10" s="12" t="s">
        <v>459</v>
      </c>
      <c r="C10" s="12" t="s">
        <v>460</v>
      </c>
      <c r="D10" s="29" t="s">
        <v>450</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57.75" hidden="false" customHeight="true" outlineLevel="0" collapsed="false">
      <c r="A11" s="12" t="s">
        <v>54</v>
      </c>
      <c r="B11" s="12" t="s">
        <v>461</v>
      </c>
      <c r="C11" s="12" t="s">
        <v>462</v>
      </c>
      <c r="D11" s="29" t="s">
        <v>450</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39.75" hidden="false" customHeight="true" outlineLevel="0" collapsed="false">
      <c r="A13" s="23" t="s">
        <v>463</v>
      </c>
      <c r="B13" s="23"/>
      <c r="C13" s="23"/>
      <c r="D13" s="2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3">
    <mergeCell ref="A1:H1"/>
    <mergeCell ref="A2:H2"/>
    <mergeCell ref="A13:D1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4"/>
    <col collapsed="false" customWidth="true" hidden="false" outlineLevel="0" max="3" min="3" style="1" width="54"/>
    <col collapsed="false" customWidth="true" hidden="false" outlineLevel="0" max="4" min="4" style="1" width="70"/>
  </cols>
  <sheetData>
    <row r="1" customFormat="false" ht="18.75" hidden="false" customHeight="true" outlineLevel="0" collapsed="false">
      <c r="A1" s="2" t="s">
        <v>464</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36" hidden="false" customHeight="true" outlineLevel="0" collapsed="false">
      <c r="A2" s="4" t="s">
        <v>465</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466</v>
      </c>
      <c r="B4" s="5" t="s">
        <v>467</v>
      </c>
      <c r="C4" s="5" t="s">
        <v>468</v>
      </c>
      <c r="D4" s="5" t="s">
        <v>469</v>
      </c>
      <c r="E4" s="3"/>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26.25" hidden="false" customHeight="true" outlineLevel="0" collapsed="false">
      <c r="A5" s="12" t="s">
        <v>470</v>
      </c>
      <c r="B5" s="12" t="s">
        <v>471</v>
      </c>
      <c r="C5" s="12" t="s">
        <v>472</v>
      </c>
      <c r="D5" s="12" t="s">
        <v>473</v>
      </c>
      <c r="E5" s="3"/>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15" hidden="false" customHeight="true" outlineLevel="0" collapsed="false">
      <c r="A6" s="12" t="s">
        <v>474</v>
      </c>
      <c r="B6" s="12" t="s">
        <v>475</v>
      </c>
      <c r="C6" s="12" t="s">
        <v>476</v>
      </c>
      <c r="D6" s="12" t="s">
        <v>477</v>
      </c>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15" hidden="false" customHeight="true" outlineLevel="0" collapsed="false">
      <c r="A7" s="12" t="s">
        <v>478</v>
      </c>
      <c r="B7" s="12" t="s">
        <v>479</v>
      </c>
      <c r="C7" s="12" t="s">
        <v>480</v>
      </c>
      <c r="D7" s="12" t="s">
        <v>481</v>
      </c>
      <c r="E7" s="3"/>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26.25" hidden="false" customHeight="true" outlineLevel="0" collapsed="false">
      <c r="A8" s="12" t="s">
        <v>482</v>
      </c>
      <c r="B8" s="12" t="s">
        <v>483</v>
      </c>
      <c r="C8" s="12" t="s">
        <v>484</v>
      </c>
      <c r="D8" s="12" t="s">
        <v>485</v>
      </c>
      <c r="E8" s="3"/>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15" hidden="false" customHeight="true" outlineLevel="0" collapsed="false">
      <c r="A9" s="12" t="s">
        <v>486</v>
      </c>
      <c r="B9" s="12" t="s">
        <v>487</v>
      </c>
      <c r="C9" s="12" t="s">
        <v>488</v>
      </c>
      <c r="D9" s="12" t="s">
        <v>489</v>
      </c>
      <c r="E9" s="3"/>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12" t="s">
        <v>490</v>
      </c>
      <c r="B10" s="12" t="s">
        <v>491</v>
      </c>
      <c r="C10" s="12" t="s">
        <v>492</v>
      </c>
      <c r="D10" s="12" t="s">
        <v>493</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22" t="s">
        <v>494</v>
      </c>
      <c r="B118" s="30" t="s">
        <v>495</v>
      </c>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2"/>
    <col collapsed="false" customWidth="true" hidden="false" outlineLevel="0" max="3" min="3" style="1" width="70"/>
  </cols>
  <sheetData>
    <row r="1" customFormat="false" ht="76.5" hidden="false" customHeight="true" outlineLevel="0" collapsed="false">
      <c r="A1" s="2" t="s">
        <v>496</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row>
    <row r="2" customFormat="false" ht="36" hidden="false" customHeight="true" outlineLevel="0" collapsed="false">
      <c r="A2" s="4" t="s">
        <v>497</v>
      </c>
      <c r="B2" s="4"/>
      <c r="C2" s="4"/>
      <c r="D2" s="4"/>
      <c r="E2" s="4"/>
      <c r="F2" s="4"/>
      <c r="G2" s="4"/>
      <c r="H2" s="4"/>
      <c r="I2" s="3"/>
      <c r="J2" s="3"/>
      <c r="K2" s="3"/>
      <c r="L2" s="3"/>
      <c r="M2" s="3"/>
      <c r="N2" s="3"/>
      <c r="O2" s="3"/>
      <c r="P2" s="3"/>
      <c r="Q2" s="3"/>
      <c r="R2" s="3"/>
      <c r="S2" s="3"/>
      <c r="T2" s="3"/>
      <c r="U2" s="3"/>
      <c r="V2" s="3"/>
      <c r="W2" s="3"/>
      <c r="X2" s="3"/>
      <c r="Y2" s="3"/>
      <c r="Z2" s="3"/>
      <c r="AA2" s="3"/>
      <c r="AB2" s="3"/>
      <c r="AC2" s="3"/>
      <c r="AD2" s="3"/>
      <c r="AE2" s="3"/>
      <c r="AF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customFormat="false" ht="15" hidden="false" customHeight="true" outlineLevel="0" collapsed="false">
      <c r="A4" s="5" t="s">
        <v>498</v>
      </c>
      <c r="B4" s="5" t="s">
        <v>499</v>
      </c>
      <c r="C4" s="5" t="s">
        <v>351</v>
      </c>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15" hidden="false" customHeight="true" outlineLevel="0" collapsed="false">
      <c r="A5" s="12" t="s">
        <v>500</v>
      </c>
      <c r="B5" s="12" t="s">
        <v>501</v>
      </c>
      <c r="C5" s="12" t="s">
        <v>502</v>
      </c>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ustomFormat="false" ht="15" hidden="false" customHeight="true" outlineLevel="0" collapsed="false">
      <c r="A6" s="12" t="s">
        <v>500</v>
      </c>
      <c r="B6" s="12" t="s">
        <v>503</v>
      </c>
      <c r="C6" s="12" t="s">
        <v>504</v>
      </c>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15" hidden="false" customHeight="true" outlineLevel="0" collapsed="false">
      <c r="A7" s="12" t="s">
        <v>500</v>
      </c>
      <c r="B7" s="12" t="s">
        <v>505</v>
      </c>
      <c r="C7" s="12" t="s">
        <v>506</v>
      </c>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ustomFormat="false" ht="15" hidden="false" customHeight="true" outlineLevel="0" collapsed="false">
      <c r="A8" s="12" t="s">
        <v>500</v>
      </c>
      <c r="B8" s="12" t="s">
        <v>507</v>
      </c>
      <c r="C8" s="12" t="s">
        <v>508</v>
      </c>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ustomFormat="false" ht="15" hidden="false" customHeight="true" outlineLevel="0" collapsed="false">
      <c r="A9" s="12" t="s">
        <v>500</v>
      </c>
      <c r="B9" s="12" t="s">
        <v>509</v>
      </c>
      <c r="C9" s="12" t="s">
        <v>510</v>
      </c>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ustomFormat="false" ht="15" hidden="false" customHeight="true" outlineLevel="0" collapsed="false">
      <c r="A10" s="12" t="s">
        <v>500</v>
      </c>
      <c r="B10" s="12" t="s">
        <v>511</v>
      </c>
      <c r="C10" s="12" t="s">
        <v>512</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true" outlineLevel="0" collapsed="false">
      <c r="A11" s="12" t="s">
        <v>500</v>
      </c>
      <c r="B11" s="12" t="s">
        <v>513</v>
      </c>
      <c r="C11" s="12" t="s">
        <v>514</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ustomFormat="false" ht="15" hidden="false" customHeight="true" outlineLevel="0" collapsed="false">
      <c r="A12" s="12" t="s">
        <v>500</v>
      </c>
      <c r="B12" s="12" t="s">
        <v>515</v>
      </c>
      <c r="C12" s="12" t="s">
        <v>516</v>
      </c>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true" outlineLevel="0" collapsed="false">
      <c r="A13" s="12" t="s">
        <v>500</v>
      </c>
      <c r="B13" s="12" t="s">
        <v>517</v>
      </c>
      <c r="C13" s="12" t="s">
        <v>518</v>
      </c>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 hidden="false" customHeight="true" outlineLevel="0" collapsed="false">
      <c r="A14" s="12" t="s">
        <v>519</v>
      </c>
      <c r="B14" s="12" t="s">
        <v>520</v>
      </c>
      <c r="C14" s="12" t="s">
        <v>521</v>
      </c>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 hidden="false" customHeight="true" outlineLevel="0" collapsed="false">
      <c r="A15" s="13" t="n">
        <v>46208</v>
      </c>
      <c r="B15" s="12" t="s">
        <v>522</v>
      </c>
      <c r="C15" s="12" t="s">
        <v>523</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 hidden="false" customHeight="true" outlineLevel="0" collapsed="false">
      <c r="A16" s="12" t="s">
        <v>524</v>
      </c>
      <c r="B16" s="12" t="s">
        <v>525</v>
      </c>
      <c r="C16" s="12" t="s">
        <v>526</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 hidden="false" customHeight="true" outlineLevel="0" collapsed="false">
      <c r="A17" s="12" t="s">
        <v>527</v>
      </c>
      <c r="B17" s="12" t="s">
        <v>528</v>
      </c>
      <c r="C17" s="12" t="s">
        <v>529</v>
      </c>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true" outlineLevel="0" collapsed="false">
      <c r="A18" s="12" t="s">
        <v>530</v>
      </c>
      <c r="B18" s="12" t="s">
        <v>531</v>
      </c>
      <c r="C18" s="12" t="s">
        <v>532</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true" outlineLevel="0" collapsed="false">
      <c r="A19" s="12" t="s">
        <v>530</v>
      </c>
      <c r="B19" s="12" t="s">
        <v>533</v>
      </c>
      <c r="C19" s="12" t="s">
        <v>534</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 hidden="false" customHeight="true" outlineLevel="0" collapsed="false">
      <c r="A20" s="12" t="s">
        <v>535</v>
      </c>
      <c r="B20" s="12" t="s">
        <v>536</v>
      </c>
      <c r="C20" s="12" t="s">
        <v>537</v>
      </c>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 hidden="false" customHeight="true" outlineLevel="0" collapsed="false">
      <c r="A21" s="12" t="s">
        <v>535</v>
      </c>
      <c r="B21" s="12" t="s">
        <v>536</v>
      </c>
      <c r="C21" s="12" t="s">
        <v>538</v>
      </c>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48"/>
    <col collapsed="false" customWidth="true" hidden="false" outlineLevel="0" max="4" min="4" style="1" width="64"/>
  </cols>
  <sheetData>
    <row r="1" customFormat="false" ht="31.5" hidden="false" customHeight="true" outlineLevel="0" collapsed="false">
      <c r="A1" s="31" t="s">
        <v>539</v>
      </c>
      <c r="B1" s="31"/>
      <c r="C1" s="31"/>
      <c r="D1" s="31"/>
      <c r="E1" s="32"/>
      <c r="F1" s="32"/>
      <c r="G1" s="32"/>
      <c r="H1" s="32"/>
    </row>
    <row r="2" customFormat="false" ht="18" hidden="false" customHeight="true" outlineLevel="0" collapsed="false">
      <c r="A2" s="16" t="s">
        <v>540</v>
      </c>
      <c r="B2" s="16"/>
      <c r="C2" s="16"/>
      <c r="D2" s="16"/>
      <c r="E2" s="32"/>
      <c r="F2" s="32"/>
      <c r="G2" s="32"/>
      <c r="H2" s="32"/>
    </row>
    <row r="3" customFormat="false" ht="15" hidden="false" customHeight="true" outlineLevel="0" collapsed="false">
      <c r="A3" s="33"/>
      <c r="B3" s="33"/>
      <c r="C3" s="33"/>
      <c r="D3" s="33"/>
      <c r="E3" s="32"/>
      <c r="F3" s="32"/>
      <c r="G3" s="32"/>
      <c r="H3" s="32"/>
    </row>
    <row r="4" customFormat="false" ht="21.75" hidden="false" customHeight="true" outlineLevel="0" collapsed="false">
      <c r="A4" s="34" t="s">
        <v>2</v>
      </c>
      <c r="B4" s="34" t="s">
        <v>3</v>
      </c>
      <c r="C4" s="35" t="s">
        <v>541</v>
      </c>
      <c r="D4" s="35"/>
      <c r="E4" s="32"/>
      <c r="F4" s="32"/>
      <c r="G4" s="32"/>
      <c r="H4" s="32"/>
    </row>
    <row r="5" customFormat="false" ht="21.75" hidden="false" customHeight="true" outlineLevel="0" collapsed="false">
      <c r="A5" s="33" t="s">
        <v>29</v>
      </c>
      <c r="B5" s="33" t="n">
        <v>60</v>
      </c>
      <c r="C5" s="16" t="s">
        <v>542</v>
      </c>
      <c r="D5" s="16"/>
      <c r="E5" s="32"/>
      <c r="F5" s="32"/>
      <c r="G5" s="32"/>
      <c r="H5" s="32"/>
    </row>
    <row r="6" customFormat="false" ht="21.75" hidden="false" customHeight="true" outlineLevel="0" collapsed="false">
      <c r="A6" s="33" t="s">
        <v>30</v>
      </c>
      <c r="B6" s="33" t="n">
        <v>66</v>
      </c>
      <c r="C6" s="16" t="s">
        <v>543</v>
      </c>
      <c r="D6" s="16"/>
      <c r="E6" s="32"/>
      <c r="F6" s="32"/>
      <c r="G6" s="32"/>
      <c r="H6" s="32"/>
    </row>
    <row r="7" customFormat="false" ht="21.75" hidden="false" customHeight="true" outlineLevel="0" collapsed="false">
      <c r="A7" s="33" t="s">
        <v>31</v>
      </c>
      <c r="B7" s="33" t="n">
        <v>6</v>
      </c>
      <c r="C7" s="16" t="s">
        <v>544</v>
      </c>
      <c r="D7" s="16"/>
      <c r="E7" s="32"/>
      <c r="F7" s="32"/>
      <c r="G7" s="32"/>
      <c r="H7" s="32"/>
    </row>
    <row r="8" customFormat="false" ht="21.75" hidden="false" customHeight="true" outlineLevel="0" collapsed="false">
      <c r="A8" s="33" t="s">
        <v>58</v>
      </c>
      <c r="B8" s="33" t="s">
        <v>545</v>
      </c>
      <c r="C8" s="16" t="s">
        <v>546</v>
      </c>
      <c r="D8" s="16"/>
      <c r="E8" s="32"/>
      <c r="F8" s="32"/>
      <c r="G8" s="32"/>
      <c r="H8" s="32"/>
    </row>
    <row r="9" customFormat="false" ht="15" hidden="false" customHeight="true" outlineLevel="0" collapsed="false">
      <c r="A9" s="33"/>
      <c r="B9" s="33"/>
      <c r="C9" s="33"/>
      <c r="D9" s="33"/>
      <c r="E9" s="32"/>
      <c r="F9" s="32"/>
      <c r="G9" s="32"/>
      <c r="H9" s="32"/>
    </row>
    <row r="10" customFormat="false" ht="33.75" hidden="false" customHeight="true" outlineLevel="0" collapsed="false">
      <c r="A10" s="34" t="s">
        <v>547</v>
      </c>
      <c r="B10" s="35" t="s">
        <v>548</v>
      </c>
      <c r="C10" s="35"/>
      <c r="D10" s="35"/>
      <c r="E10" s="32"/>
      <c r="F10" s="32"/>
      <c r="G10" s="32"/>
      <c r="H10" s="32"/>
    </row>
    <row r="11" customFormat="false" ht="33.75" hidden="false" customHeight="true" outlineLevel="0" collapsed="false">
      <c r="A11" s="33" t="s">
        <v>549</v>
      </c>
      <c r="B11" s="16" t="s">
        <v>550</v>
      </c>
      <c r="C11" s="16"/>
      <c r="D11" s="16"/>
      <c r="E11" s="32"/>
      <c r="F11" s="32"/>
      <c r="G11" s="32"/>
      <c r="H11" s="32"/>
    </row>
    <row r="12" customFormat="false" ht="33.75" hidden="false" customHeight="true" outlineLevel="0" collapsed="false">
      <c r="A12" s="33" t="s">
        <v>236</v>
      </c>
      <c r="B12" s="16" t="s">
        <v>551</v>
      </c>
      <c r="C12" s="16"/>
      <c r="D12" s="16"/>
      <c r="E12" s="32"/>
      <c r="F12" s="32"/>
      <c r="G12" s="32"/>
      <c r="H12" s="32"/>
    </row>
    <row r="13" customFormat="false" ht="33.75" hidden="false" customHeight="true" outlineLevel="0" collapsed="false">
      <c r="A13" s="33" t="s">
        <v>552</v>
      </c>
      <c r="B13" s="16" t="s">
        <v>553</v>
      </c>
      <c r="C13" s="16"/>
      <c r="D13" s="16"/>
      <c r="E13" s="32"/>
      <c r="F13" s="32"/>
      <c r="G13" s="32"/>
      <c r="H13" s="32"/>
    </row>
    <row r="14" customFormat="false" ht="33.75" hidden="false" customHeight="true" outlineLevel="0" collapsed="false">
      <c r="A14" s="33" t="s">
        <v>554</v>
      </c>
      <c r="B14" s="16" t="s">
        <v>555</v>
      </c>
      <c r="C14" s="16"/>
      <c r="D14" s="16"/>
      <c r="E14" s="32"/>
      <c r="F14" s="32"/>
      <c r="G14" s="32"/>
      <c r="H14" s="32"/>
    </row>
    <row r="15" customFormat="false" ht="33.75" hidden="false" customHeight="true" outlineLevel="0" collapsed="false">
      <c r="A15" s="33" t="s">
        <v>244</v>
      </c>
      <c r="B15" s="16" t="s">
        <v>556</v>
      </c>
      <c r="C15" s="16"/>
      <c r="D15" s="16"/>
      <c r="E15" s="32"/>
      <c r="F15" s="32"/>
      <c r="G15" s="32"/>
      <c r="H15" s="32"/>
    </row>
    <row r="16" customFormat="false" ht="33.75" hidden="false" customHeight="true" outlineLevel="0" collapsed="false">
      <c r="A16" s="33" t="s">
        <v>557</v>
      </c>
      <c r="B16" s="16" t="s">
        <v>558</v>
      </c>
      <c r="C16" s="16"/>
      <c r="D16" s="16"/>
      <c r="E16" s="32"/>
      <c r="F16" s="32"/>
      <c r="G16" s="32"/>
      <c r="H16" s="32"/>
    </row>
    <row r="17" customFormat="false" ht="33.75" hidden="false" customHeight="true" outlineLevel="0" collapsed="false">
      <c r="A17" s="33" t="s">
        <v>559</v>
      </c>
      <c r="B17" s="16" t="s">
        <v>560</v>
      </c>
      <c r="C17" s="16"/>
      <c r="D17" s="16"/>
      <c r="E17" s="32"/>
      <c r="F17" s="32"/>
      <c r="G17" s="32"/>
      <c r="H17" s="32"/>
    </row>
    <row r="18" customFormat="false" ht="15" hidden="false" customHeight="true" outlineLevel="0" collapsed="false">
      <c r="A18" s="33"/>
      <c r="B18" s="33"/>
      <c r="C18" s="33"/>
      <c r="D18" s="33"/>
      <c r="E18" s="32"/>
      <c r="F18" s="32"/>
      <c r="G18" s="32"/>
      <c r="H18" s="32"/>
    </row>
    <row r="19" customFormat="false" ht="15" hidden="false" customHeight="true" outlineLevel="0" collapsed="false">
      <c r="A19" s="33"/>
      <c r="B19" s="33"/>
      <c r="C19" s="33"/>
      <c r="D19" s="33"/>
      <c r="E19" s="32"/>
      <c r="F19" s="32"/>
      <c r="G19" s="32"/>
      <c r="H19" s="32"/>
    </row>
    <row r="20" customFormat="false" ht="19.5" hidden="false" customHeight="true" outlineLevel="0" collapsed="false">
      <c r="A20" s="34" t="s">
        <v>561</v>
      </c>
      <c r="B20" s="34" t="s">
        <v>562</v>
      </c>
      <c r="C20" s="35" t="s">
        <v>351</v>
      </c>
      <c r="D20" s="35"/>
      <c r="E20" s="32"/>
      <c r="F20" s="32"/>
      <c r="G20" s="32"/>
      <c r="H20" s="32"/>
    </row>
    <row r="21" customFormat="false" ht="19.5" hidden="false" customHeight="true" outlineLevel="0" collapsed="false">
      <c r="A21" s="33" t="s">
        <v>41</v>
      </c>
      <c r="B21" s="33" t="n">
        <v>3</v>
      </c>
      <c r="C21" s="16" t="s">
        <v>563</v>
      </c>
      <c r="D21" s="16"/>
      <c r="E21" s="32"/>
      <c r="F21" s="32"/>
      <c r="G21" s="32"/>
      <c r="H21" s="32"/>
    </row>
    <row r="22" customFormat="false" ht="19.5" hidden="false" customHeight="true" outlineLevel="0" collapsed="false">
      <c r="A22" s="33" t="s">
        <v>42</v>
      </c>
      <c r="B22" s="33" t="n">
        <v>3</v>
      </c>
      <c r="C22" s="16" t="s">
        <v>564</v>
      </c>
      <c r="D22" s="16"/>
      <c r="E22" s="32"/>
      <c r="F22" s="32"/>
      <c r="G22" s="32"/>
      <c r="H22" s="32"/>
    </row>
    <row r="23" customFormat="false" ht="19.5" hidden="false" customHeight="true" outlineLevel="0" collapsed="false">
      <c r="A23" s="33" t="s">
        <v>43</v>
      </c>
      <c r="B23" s="33" t="n">
        <v>3</v>
      </c>
      <c r="C23" s="16" t="s">
        <v>565</v>
      </c>
      <c r="D23" s="16"/>
      <c r="E23" s="32"/>
      <c r="F23" s="32"/>
      <c r="G23" s="32"/>
      <c r="H23" s="32"/>
    </row>
    <row r="24" customFormat="false" ht="19.5" hidden="false" customHeight="true" outlineLevel="0" collapsed="false">
      <c r="A24" s="33" t="s">
        <v>44</v>
      </c>
      <c r="B24" s="33" t="n">
        <v>5</v>
      </c>
      <c r="C24" s="16" t="s">
        <v>566</v>
      </c>
      <c r="D24" s="16"/>
      <c r="E24" s="32"/>
      <c r="F24" s="32"/>
      <c r="G24" s="32"/>
      <c r="H24" s="32"/>
    </row>
    <row r="25" customFormat="false" ht="19.5" hidden="false" customHeight="true" outlineLevel="0" collapsed="false">
      <c r="A25" s="33" t="s">
        <v>45</v>
      </c>
      <c r="B25" s="33" t="n">
        <v>3</v>
      </c>
      <c r="C25" s="16" t="s">
        <v>567</v>
      </c>
      <c r="D25" s="16"/>
      <c r="E25" s="32"/>
      <c r="F25" s="32"/>
      <c r="G25" s="32"/>
      <c r="H25" s="32"/>
    </row>
    <row r="26" customFormat="false" ht="19.5" hidden="false" customHeight="true" outlineLevel="0" collapsed="false">
      <c r="A26" s="33" t="s">
        <v>46</v>
      </c>
      <c r="B26" s="33" t="n">
        <v>2</v>
      </c>
      <c r="C26" s="16" t="s">
        <v>568</v>
      </c>
      <c r="D26" s="16"/>
      <c r="E26" s="32"/>
      <c r="F26" s="32"/>
      <c r="G26" s="32"/>
      <c r="H26" s="32"/>
    </row>
    <row r="27" customFormat="false" ht="19.5" hidden="false" customHeight="true" outlineLevel="0" collapsed="false">
      <c r="A27" s="33" t="s">
        <v>47</v>
      </c>
      <c r="B27" s="33" t="n">
        <v>2</v>
      </c>
      <c r="C27" s="16" t="s">
        <v>569</v>
      </c>
      <c r="D27" s="16"/>
      <c r="E27" s="32"/>
      <c r="F27" s="32"/>
      <c r="G27" s="32"/>
      <c r="H27" s="32"/>
    </row>
    <row r="28" customFormat="false" ht="19.5" hidden="false" customHeight="true" outlineLevel="0" collapsed="false">
      <c r="A28" s="33" t="s">
        <v>570</v>
      </c>
      <c r="B28" s="33" t="n">
        <v>21</v>
      </c>
      <c r="C28" s="16" t="s">
        <v>571</v>
      </c>
      <c r="D28" s="16"/>
      <c r="E28" s="32"/>
      <c r="F28" s="32"/>
      <c r="G28" s="32"/>
      <c r="H28" s="32"/>
    </row>
    <row r="29" customFormat="false" ht="15" hidden="false" customHeight="true" outlineLevel="0" collapsed="false">
      <c r="A29" s="33"/>
      <c r="B29" s="33"/>
      <c r="C29" s="33"/>
      <c r="D29" s="33"/>
      <c r="E29" s="32"/>
      <c r="F29" s="32"/>
      <c r="G29" s="32"/>
      <c r="H29" s="32"/>
    </row>
    <row r="30" customFormat="false" ht="15" hidden="false" customHeight="true" outlineLevel="0" collapsed="false">
      <c r="A30" s="33"/>
      <c r="B30" s="33"/>
      <c r="C30" s="33"/>
      <c r="D30" s="33"/>
      <c r="E30" s="32"/>
      <c r="F30" s="32"/>
      <c r="G30" s="32"/>
      <c r="H30" s="32"/>
    </row>
    <row r="31" customFormat="false" ht="25.5" hidden="false" customHeight="true" outlineLevel="0" collapsed="false">
      <c r="A31" s="34" t="s">
        <v>572</v>
      </c>
      <c r="B31" s="34" t="s">
        <v>562</v>
      </c>
      <c r="C31" s="34" t="s">
        <v>573</v>
      </c>
      <c r="D31" s="34" t="s">
        <v>574</v>
      </c>
      <c r="E31" s="32"/>
      <c r="F31" s="32"/>
      <c r="G31" s="32"/>
      <c r="H31" s="32"/>
    </row>
    <row r="32" customFormat="false" ht="25.5" hidden="false" customHeight="true" outlineLevel="0" collapsed="false">
      <c r="A32" s="33" t="s">
        <v>48</v>
      </c>
      <c r="B32" s="33" t="n">
        <v>4</v>
      </c>
      <c r="C32" s="33" t="n">
        <v>3</v>
      </c>
      <c r="D32" s="33" t="s">
        <v>575</v>
      </c>
      <c r="E32" s="32"/>
      <c r="F32" s="32"/>
      <c r="G32" s="32"/>
      <c r="H32" s="32"/>
    </row>
    <row r="33" customFormat="false" ht="25.5" hidden="false" customHeight="true" outlineLevel="0" collapsed="false">
      <c r="A33" s="33" t="s">
        <v>49</v>
      </c>
      <c r="B33" s="33" t="n">
        <v>4</v>
      </c>
      <c r="C33" s="33" t="n">
        <v>3</v>
      </c>
      <c r="D33" s="33" t="s">
        <v>576</v>
      </c>
      <c r="E33" s="32"/>
      <c r="F33" s="32"/>
      <c r="G33" s="32"/>
      <c r="H33" s="32"/>
    </row>
    <row r="34" customFormat="false" ht="25.5" hidden="false" customHeight="true" outlineLevel="0" collapsed="false">
      <c r="A34" s="33" t="s">
        <v>50</v>
      </c>
      <c r="B34" s="33" t="n">
        <v>4</v>
      </c>
      <c r="C34" s="33" t="n">
        <v>4</v>
      </c>
      <c r="D34" s="33" t="s">
        <v>577</v>
      </c>
      <c r="E34" s="32"/>
      <c r="F34" s="32"/>
      <c r="G34" s="32"/>
      <c r="H34" s="32"/>
    </row>
    <row r="35" customFormat="false" ht="25.5" hidden="false" customHeight="true" outlineLevel="0" collapsed="false">
      <c r="A35" s="33" t="s">
        <v>51</v>
      </c>
      <c r="B35" s="33" t="n">
        <v>3</v>
      </c>
      <c r="C35" s="33" t="n">
        <v>3</v>
      </c>
      <c r="D35" s="33" t="s">
        <v>578</v>
      </c>
      <c r="E35" s="32"/>
      <c r="F35" s="32"/>
      <c r="G35" s="32"/>
      <c r="H35" s="32"/>
    </row>
    <row r="36" customFormat="false" ht="25.5" hidden="false" customHeight="true" outlineLevel="0" collapsed="false">
      <c r="A36" s="33" t="s">
        <v>52</v>
      </c>
      <c r="B36" s="33" t="n">
        <v>3</v>
      </c>
      <c r="C36" s="33" t="n">
        <v>3</v>
      </c>
      <c r="D36" s="33" t="s">
        <v>579</v>
      </c>
      <c r="E36" s="32"/>
      <c r="F36" s="32"/>
      <c r="G36" s="32"/>
      <c r="H36" s="32"/>
    </row>
    <row r="37" customFormat="false" ht="25.5" hidden="false" customHeight="true" outlineLevel="0" collapsed="false">
      <c r="A37" s="33" t="s">
        <v>53</v>
      </c>
      <c r="B37" s="33" t="n">
        <v>3</v>
      </c>
      <c r="C37" s="33" t="n">
        <v>3</v>
      </c>
      <c r="D37" s="33" t="s">
        <v>580</v>
      </c>
      <c r="E37" s="32"/>
      <c r="F37" s="32"/>
      <c r="G37" s="32"/>
      <c r="H37" s="32"/>
    </row>
    <row r="38" customFormat="false" ht="25.5" hidden="false" customHeight="true" outlineLevel="0" collapsed="false">
      <c r="A38" s="33" t="s">
        <v>54</v>
      </c>
      <c r="B38" s="33" t="n">
        <v>2</v>
      </c>
      <c r="C38" s="33" t="n">
        <v>2</v>
      </c>
      <c r="D38" s="33" t="s">
        <v>581</v>
      </c>
      <c r="E38" s="32"/>
      <c r="F38" s="32"/>
      <c r="G38" s="32"/>
      <c r="H38" s="32"/>
    </row>
    <row r="39" customFormat="false" ht="25.5" hidden="false" customHeight="true" outlineLevel="0" collapsed="false">
      <c r="A39" s="33" t="s">
        <v>570</v>
      </c>
      <c r="B39" s="33" t="n">
        <v>23</v>
      </c>
      <c r="C39" s="33" t="s">
        <v>582</v>
      </c>
      <c r="D39" s="33" t="s">
        <v>583</v>
      </c>
      <c r="E39" s="32"/>
      <c r="F39" s="32"/>
      <c r="G39" s="32"/>
      <c r="H39" s="32"/>
    </row>
    <row r="40" customFormat="false" ht="15" hidden="false" customHeight="true" outlineLevel="0" collapsed="false">
      <c r="A40" s="33"/>
      <c r="B40" s="33"/>
      <c r="C40" s="33"/>
      <c r="D40" s="33"/>
      <c r="E40" s="32"/>
      <c r="F40" s="32"/>
      <c r="G40" s="32"/>
      <c r="H40" s="32"/>
    </row>
    <row r="41" customFormat="false" ht="15" hidden="false" customHeight="true" outlineLevel="0" collapsed="false">
      <c r="A41" s="33"/>
      <c r="B41" s="33"/>
      <c r="C41" s="33"/>
      <c r="D41" s="33"/>
      <c r="E41" s="32"/>
      <c r="F41" s="32"/>
      <c r="G41" s="32"/>
      <c r="H41" s="32"/>
    </row>
    <row r="42" customFormat="false" ht="37.5" hidden="false" customHeight="true" outlineLevel="0" collapsed="false">
      <c r="A42" s="34" t="s">
        <v>584</v>
      </c>
      <c r="B42" s="35" t="s">
        <v>383</v>
      </c>
      <c r="C42" s="35"/>
      <c r="D42" s="35"/>
      <c r="E42" s="32"/>
      <c r="F42" s="32"/>
      <c r="G42" s="32"/>
      <c r="H42" s="32"/>
    </row>
    <row r="43" customFormat="false" ht="37.5" hidden="false" customHeight="true" outlineLevel="0" collapsed="false">
      <c r="A43" s="33" t="s">
        <v>585</v>
      </c>
      <c r="B43" s="16" t="s">
        <v>586</v>
      </c>
      <c r="C43" s="16"/>
      <c r="D43" s="16"/>
      <c r="E43" s="32"/>
      <c r="F43" s="32"/>
      <c r="G43" s="32"/>
      <c r="H43" s="32"/>
    </row>
    <row r="44" customFormat="false" ht="37.5" hidden="false" customHeight="true" outlineLevel="0" collapsed="false">
      <c r="A44" s="33" t="s">
        <v>587</v>
      </c>
      <c r="B44" s="16" t="s">
        <v>588</v>
      </c>
      <c r="C44" s="16"/>
      <c r="D44" s="16"/>
      <c r="E44" s="32"/>
      <c r="F44" s="32"/>
      <c r="G44" s="32"/>
      <c r="H44" s="32"/>
    </row>
    <row r="45" customFormat="false" ht="37.5" hidden="false" customHeight="true" outlineLevel="0" collapsed="false">
      <c r="A45" s="33" t="s">
        <v>589</v>
      </c>
      <c r="B45" s="16" t="s">
        <v>590</v>
      </c>
      <c r="C45" s="16"/>
      <c r="D45" s="16"/>
      <c r="E45" s="32"/>
      <c r="F45" s="32"/>
      <c r="G45" s="32"/>
      <c r="H45" s="32"/>
    </row>
    <row r="46" customFormat="false" ht="37.5" hidden="false" customHeight="true" outlineLevel="0" collapsed="false">
      <c r="A46" s="33" t="s">
        <v>591</v>
      </c>
      <c r="B46" s="16" t="s">
        <v>592</v>
      </c>
      <c r="C46" s="16"/>
      <c r="D46" s="16"/>
      <c r="E46" s="32"/>
      <c r="F46" s="32"/>
      <c r="G46" s="32"/>
      <c r="H46" s="32"/>
    </row>
    <row r="47" customFormat="false" ht="37.5" hidden="false" customHeight="true" outlineLevel="0" collapsed="false">
      <c r="A47" s="33" t="s">
        <v>593</v>
      </c>
      <c r="B47" s="16" t="s">
        <v>594</v>
      </c>
      <c r="C47" s="16"/>
      <c r="D47" s="16"/>
      <c r="E47" s="32"/>
      <c r="F47" s="32"/>
      <c r="G47" s="32"/>
      <c r="H47" s="32"/>
    </row>
    <row r="48" customFormat="false" ht="15" hidden="false" customHeight="true" outlineLevel="0" collapsed="false">
      <c r="A48" s="32"/>
      <c r="B48" s="32"/>
      <c r="C48" s="32"/>
      <c r="D48" s="32"/>
      <c r="E48" s="32"/>
      <c r="F48" s="32"/>
      <c r="G48" s="32"/>
      <c r="H48" s="32"/>
    </row>
    <row r="49" customFormat="false" ht="15" hidden="false" customHeight="true" outlineLevel="0" collapsed="false">
      <c r="A49" s="32"/>
      <c r="B49" s="32"/>
      <c r="C49" s="32"/>
      <c r="D49" s="32"/>
      <c r="E49" s="32"/>
      <c r="F49" s="32"/>
      <c r="G49" s="32"/>
      <c r="H49" s="32"/>
    </row>
    <row r="50" customFormat="false" ht="15" hidden="false" customHeight="true" outlineLevel="0" collapsed="false">
      <c r="A50" s="32"/>
      <c r="B50" s="32"/>
      <c r="C50" s="32"/>
      <c r="D50" s="32"/>
      <c r="E50" s="32"/>
      <c r="F50" s="32"/>
      <c r="G50" s="32"/>
      <c r="H50" s="32"/>
    </row>
    <row r="51" customFormat="false" ht="15" hidden="false" customHeight="true" outlineLevel="0" collapsed="false">
      <c r="A51" s="32"/>
      <c r="B51" s="32"/>
      <c r="C51" s="32"/>
      <c r="D51" s="32"/>
      <c r="E51" s="32"/>
      <c r="F51" s="32"/>
      <c r="G51" s="32"/>
      <c r="H51" s="32"/>
    </row>
    <row r="52" customFormat="false" ht="15" hidden="false" customHeight="true" outlineLevel="0" collapsed="false">
      <c r="A52" s="32"/>
      <c r="B52" s="32"/>
      <c r="C52" s="32"/>
      <c r="D52" s="32"/>
      <c r="E52" s="32"/>
      <c r="F52" s="32"/>
      <c r="G52" s="32"/>
      <c r="H52" s="32"/>
    </row>
    <row r="53" customFormat="false" ht="15" hidden="false" customHeight="true" outlineLevel="0" collapsed="false">
      <c r="A53" s="32"/>
      <c r="B53" s="32"/>
      <c r="C53" s="32"/>
      <c r="D53" s="32"/>
      <c r="E53" s="32"/>
      <c r="F53" s="32"/>
      <c r="G53" s="32"/>
      <c r="H53" s="32"/>
    </row>
    <row r="54" customFormat="false" ht="15" hidden="false" customHeight="true" outlineLevel="0" collapsed="false">
      <c r="A54" s="32"/>
      <c r="B54" s="32"/>
      <c r="C54" s="32"/>
      <c r="D54" s="32"/>
      <c r="E54" s="32"/>
      <c r="F54" s="32"/>
      <c r="G54" s="32"/>
      <c r="H54" s="32"/>
    </row>
    <row r="55" customFormat="false" ht="15" hidden="false" customHeight="true" outlineLevel="0" collapsed="false">
      <c r="A55" s="32"/>
      <c r="B55" s="32"/>
      <c r="C55" s="32"/>
      <c r="D55" s="32"/>
      <c r="E55" s="32"/>
      <c r="F55" s="32"/>
      <c r="G55" s="32"/>
      <c r="H55" s="32"/>
    </row>
    <row r="56" customFormat="false" ht="15" hidden="false" customHeight="true" outlineLevel="0" collapsed="false">
      <c r="A56" s="32"/>
      <c r="B56" s="32"/>
      <c r="C56" s="32"/>
      <c r="D56" s="32"/>
      <c r="E56" s="32"/>
      <c r="F56" s="32"/>
      <c r="G56" s="32"/>
      <c r="H56" s="32"/>
    </row>
    <row r="57" customFormat="false" ht="15" hidden="false" customHeight="true" outlineLevel="0" collapsed="false">
      <c r="A57" s="32"/>
      <c r="B57" s="32"/>
      <c r="C57" s="32"/>
      <c r="D57" s="32"/>
      <c r="E57" s="32"/>
      <c r="F57" s="32"/>
      <c r="G57" s="32"/>
      <c r="H57" s="32"/>
    </row>
    <row r="58" customFormat="false" ht="15" hidden="false" customHeight="true" outlineLevel="0" collapsed="false">
      <c r="A58" s="32"/>
      <c r="B58" s="32"/>
      <c r="C58" s="32"/>
      <c r="D58" s="32"/>
      <c r="E58" s="32"/>
      <c r="F58" s="32"/>
      <c r="G58" s="32"/>
      <c r="H58" s="32"/>
    </row>
    <row r="59" customFormat="false" ht="15" hidden="false" customHeight="true" outlineLevel="0" collapsed="false">
      <c r="A59" s="32"/>
      <c r="B59" s="32"/>
      <c r="C59" s="32"/>
      <c r="D59" s="32"/>
      <c r="E59" s="32"/>
      <c r="F59" s="32"/>
      <c r="G59" s="32"/>
      <c r="H59" s="32"/>
    </row>
    <row r="60" customFormat="false" ht="15" hidden="false" customHeight="true" outlineLevel="0" collapsed="false">
      <c r="A60" s="32"/>
      <c r="B60" s="32"/>
      <c r="C60" s="32"/>
      <c r="D60" s="32"/>
      <c r="E60" s="32"/>
      <c r="F60" s="32"/>
      <c r="G60" s="32"/>
      <c r="H60" s="32"/>
    </row>
    <row r="61" customFormat="false" ht="15" hidden="false" customHeight="true" outlineLevel="0" collapsed="false">
      <c r="A61" s="32"/>
      <c r="B61" s="32"/>
      <c r="C61" s="32"/>
      <c r="D61" s="32"/>
      <c r="E61" s="32"/>
      <c r="F61" s="32"/>
      <c r="G61" s="32"/>
      <c r="H61" s="32"/>
    </row>
    <row r="62" customFormat="false" ht="15" hidden="false" customHeight="true" outlineLevel="0" collapsed="false">
      <c r="A62" s="32"/>
      <c r="B62" s="32"/>
      <c r="C62" s="32"/>
      <c r="D62" s="32"/>
      <c r="E62" s="32"/>
      <c r="F62" s="32"/>
      <c r="G62" s="32"/>
      <c r="H62" s="32"/>
    </row>
    <row r="63" customFormat="false" ht="15" hidden="false" customHeight="true" outlineLevel="0" collapsed="false">
      <c r="A63" s="32"/>
      <c r="B63" s="32"/>
      <c r="C63" s="32"/>
      <c r="D63" s="32"/>
      <c r="E63" s="32"/>
      <c r="F63" s="32"/>
      <c r="G63" s="32"/>
      <c r="H63" s="32"/>
    </row>
    <row r="64" customFormat="false" ht="15" hidden="false" customHeight="true" outlineLevel="0" collapsed="false">
      <c r="A64" s="32"/>
      <c r="B64" s="32"/>
      <c r="C64" s="32"/>
      <c r="D64" s="32"/>
      <c r="E64" s="32"/>
      <c r="F64" s="32"/>
      <c r="G64" s="32"/>
      <c r="H64" s="32"/>
    </row>
    <row r="65" customFormat="false" ht="15" hidden="false" customHeight="true" outlineLevel="0" collapsed="false">
      <c r="A65" s="32"/>
      <c r="B65" s="32"/>
      <c r="C65" s="32"/>
      <c r="D65" s="32"/>
      <c r="E65" s="32"/>
      <c r="F65" s="32"/>
      <c r="G65" s="32"/>
      <c r="H65" s="32"/>
    </row>
    <row r="66" customFormat="false" ht="15" hidden="false" customHeight="true" outlineLevel="0" collapsed="false">
      <c r="A66" s="32"/>
      <c r="B66" s="32"/>
      <c r="C66" s="32"/>
      <c r="D66" s="32"/>
      <c r="E66" s="32"/>
      <c r="F66" s="32"/>
      <c r="G66" s="32"/>
      <c r="H66" s="32"/>
    </row>
    <row r="67" customFormat="false" ht="15" hidden="false" customHeight="true" outlineLevel="0" collapsed="false">
      <c r="A67" s="32"/>
      <c r="B67" s="32"/>
      <c r="C67" s="32"/>
      <c r="D67" s="32"/>
      <c r="E67" s="32"/>
      <c r="F67" s="32"/>
      <c r="G67" s="32"/>
      <c r="H67" s="32"/>
    </row>
    <row r="68" customFormat="false" ht="15" hidden="false" customHeight="true" outlineLevel="0" collapsed="false">
      <c r="A68" s="32"/>
      <c r="B68" s="32"/>
      <c r="C68" s="32"/>
      <c r="D68" s="32"/>
      <c r="E68" s="32"/>
      <c r="F68" s="32"/>
      <c r="G68" s="32"/>
      <c r="H68" s="32"/>
    </row>
    <row r="69" customFormat="false" ht="15" hidden="false" customHeight="true" outlineLevel="0" collapsed="false">
      <c r="A69" s="32"/>
      <c r="B69" s="32"/>
      <c r="C69" s="32"/>
      <c r="D69" s="32"/>
      <c r="E69" s="32"/>
      <c r="F69" s="32"/>
      <c r="G69" s="32"/>
      <c r="H69" s="32"/>
    </row>
    <row r="70" customFormat="false" ht="15" hidden="false" customHeight="true" outlineLevel="0" collapsed="false">
      <c r="A70" s="32"/>
      <c r="B70" s="32"/>
      <c r="C70" s="32"/>
      <c r="D70" s="32"/>
      <c r="E70" s="32"/>
      <c r="F70" s="32"/>
      <c r="G70" s="32"/>
      <c r="H70" s="32"/>
    </row>
    <row r="71" customFormat="false" ht="15" hidden="false" customHeight="true" outlineLevel="0" collapsed="false">
      <c r="A71" s="32"/>
      <c r="B71" s="32"/>
      <c r="C71" s="32"/>
      <c r="D71" s="32"/>
      <c r="E71" s="32"/>
      <c r="F71" s="32"/>
      <c r="G71" s="32"/>
      <c r="H71" s="32"/>
    </row>
    <row r="72" customFormat="false" ht="15" hidden="false" customHeight="true" outlineLevel="0" collapsed="false">
      <c r="A72" s="32"/>
      <c r="B72" s="32"/>
      <c r="C72" s="32"/>
      <c r="D72" s="32"/>
      <c r="E72" s="32"/>
      <c r="F72" s="32"/>
      <c r="G72" s="32"/>
      <c r="H72" s="32"/>
    </row>
    <row r="73" customFormat="false" ht="15" hidden="false" customHeight="true" outlineLevel="0" collapsed="false">
      <c r="A73" s="32"/>
      <c r="B73" s="32"/>
      <c r="C73" s="32"/>
      <c r="D73" s="32"/>
      <c r="E73" s="32"/>
      <c r="F73" s="32"/>
      <c r="G73" s="32"/>
      <c r="H73" s="32"/>
    </row>
    <row r="74" customFormat="false" ht="15" hidden="false" customHeight="true" outlineLevel="0" collapsed="false">
      <c r="A74" s="32"/>
      <c r="B74" s="32"/>
      <c r="C74" s="32"/>
      <c r="D74" s="32"/>
      <c r="E74" s="32"/>
      <c r="F74" s="32"/>
      <c r="G74" s="32"/>
      <c r="H74" s="32"/>
    </row>
    <row r="75" customFormat="false" ht="15" hidden="false" customHeight="true" outlineLevel="0" collapsed="false">
      <c r="A75" s="32"/>
      <c r="B75" s="32"/>
      <c r="C75" s="32"/>
      <c r="D75" s="32"/>
      <c r="E75" s="32"/>
      <c r="F75" s="32"/>
      <c r="G75" s="32"/>
      <c r="H75" s="32"/>
    </row>
    <row r="76" customFormat="false" ht="15" hidden="false" customHeight="true" outlineLevel="0" collapsed="false">
      <c r="A76" s="32"/>
      <c r="B76" s="32"/>
      <c r="C76" s="32"/>
      <c r="D76" s="32"/>
      <c r="E76" s="32"/>
      <c r="F76" s="32"/>
      <c r="G76" s="32"/>
      <c r="H76" s="32"/>
    </row>
    <row r="77" customFormat="false" ht="15" hidden="false" customHeight="true" outlineLevel="0" collapsed="false">
      <c r="A77" s="32"/>
      <c r="B77" s="32"/>
      <c r="C77" s="32"/>
      <c r="D77" s="32"/>
      <c r="E77" s="32"/>
      <c r="F77" s="32"/>
      <c r="G77" s="32"/>
      <c r="H77" s="32"/>
    </row>
    <row r="78" customFormat="false" ht="15" hidden="false" customHeight="true" outlineLevel="0" collapsed="false">
      <c r="A78" s="36" t="s">
        <v>495</v>
      </c>
      <c r="B78" s="36"/>
      <c r="C78" s="36"/>
      <c r="D78" s="36"/>
      <c r="E78" s="36"/>
      <c r="F78" s="36"/>
      <c r="G78" s="36"/>
      <c r="H78" s="36"/>
    </row>
    <row r="79" customFormat="false" ht="15" hidden="false" customHeight="true" outlineLevel="0" collapsed="false">
      <c r="A79" s="32"/>
      <c r="B79" s="32"/>
      <c r="C79" s="32"/>
      <c r="D79" s="32"/>
      <c r="E79" s="32"/>
      <c r="F79" s="32"/>
      <c r="G79" s="32"/>
      <c r="H79" s="32"/>
    </row>
    <row r="80" customFormat="false" ht="15" hidden="false" customHeight="true" outlineLevel="0" collapsed="false">
      <c r="A80" s="32"/>
      <c r="B80" s="32"/>
      <c r="C80" s="32"/>
      <c r="D80" s="32"/>
      <c r="E80" s="32"/>
      <c r="F80" s="32"/>
      <c r="G80" s="32"/>
      <c r="H80" s="32"/>
    </row>
  </sheetData>
  <mergeCells count="31">
    <mergeCell ref="A1:D1"/>
    <mergeCell ref="A2:D2"/>
    <mergeCell ref="C4:D4"/>
    <mergeCell ref="C5:D5"/>
    <mergeCell ref="C6:D6"/>
    <mergeCell ref="C7:D7"/>
    <mergeCell ref="C8:D8"/>
    <mergeCell ref="B10:D10"/>
    <mergeCell ref="B11:D11"/>
    <mergeCell ref="B12:D12"/>
    <mergeCell ref="B13:D13"/>
    <mergeCell ref="B14:D14"/>
    <mergeCell ref="B15:D15"/>
    <mergeCell ref="B16:D16"/>
    <mergeCell ref="B17:D17"/>
    <mergeCell ref="C20:D20"/>
    <mergeCell ref="C21:D21"/>
    <mergeCell ref="C22:D22"/>
    <mergeCell ref="C23:D23"/>
    <mergeCell ref="C24:D24"/>
    <mergeCell ref="C25:D25"/>
    <mergeCell ref="C26:D26"/>
    <mergeCell ref="C27:D27"/>
    <mergeCell ref="C28:D28"/>
    <mergeCell ref="B42:D42"/>
    <mergeCell ref="B43:D43"/>
    <mergeCell ref="B44:D44"/>
    <mergeCell ref="B45:D45"/>
    <mergeCell ref="B46:D46"/>
    <mergeCell ref="B47:D47"/>
    <mergeCell ref="A78:H7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2026-07-08T03:33:12Z</dcterms:created>
  <dc:creator>Sumir Arora</dc:creator>
  <dc:description/>
  <cp:keywords>ASF agentic stability AFI EGI SMI orbit AI governance</cp:keywords>
  <dc:language>en-US</dc:language>
  <cp:lastModifiedBy/>
  <dcterms:modified xsi:type="dcterms:W3CDTF">2026-09-01T14:49:58Z</dcterms:modified>
  <cp:revision>0</cp:revision>
  <dc:subject>Agentic Stability Framework v1.1 - Assessment Workbook</dc:subject>
  <dc:title>ASF Assessment Workbook v1.1</dc:title>
</cp:coreProperties>
</file>

<file path=docProps/custom.xml><?xml version="1.0" encoding="utf-8"?>
<Properties xmlns="http://schemas.openxmlformats.org/officeDocument/2006/custom-properties" xmlns:vt="http://schemas.openxmlformats.org/officeDocument/2006/docPropsVTypes"/>
</file>
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Assessment" sheetId="2" state="visible" r:id="rId2"/>
    <sheet xmlns:r="http://schemas.openxmlformats.org/officeDocument/2006/relationships" name="Weighted Scoring" sheetId="3" state="visible" r:id="rId3"/>
    <sheet xmlns:r="http://schemas.openxmlformats.org/officeDocument/2006/relationships" name="AFI Rubric" sheetId="4" state="visible" r:id="rId4"/>
    <sheet xmlns:r="http://schemas.openxmlformats.org/officeDocument/2006/relationships" name="EGI Rubric" sheetId="5" state="visible" r:id="rId5"/>
    <sheet xmlns:r="http://schemas.openxmlformats.org/officeDocument/2006/relationships" name="Evidence Tiers" sheetId="6" state="visible" r:id="rId6"/>
    <sheet xmlns:r="http://schemas.openxmlformats.org/officeDocument/2006/relationships" name="ABOM" sheetId="7" state="visible" r:id="rId7"/>
    <sheet xmlns:r="http://schemas.openxmlformats.org/officeDocument/2006/relationships" name="Threat Model" sheetId="8" state="visible" r:id="rId8"/>
    <sheet xmlns:r="http://schemas.openxmlformats.org/officeDocument/2006/relationships" name="Domain Overlays" sheetId="9" state="visible" r:id="rId9"/>
    <sheet xmlns:r="http://schemas.openxmlformats.org/officeDocument/2006/relationships" name="Risk Acceptance" sheetId="10" state="visible" r:id="rId10"/>
    <sheet xmlns:r="http://schemas.openxmlformats.org/officeDocument/2006/relationships" name="Architecture Review Packet" sheetId="11" state="visible" r:id="rId11"/>
    <sheet xmlns:r="http://schemas.openxmlformats.org/officeDocument/2006/relationships" name="Deployment Gates" sheetId="12" state="visible" r:id="rId12"/>
    <sheet xmlns:r="http://schemas.openxmlformats.org/officeDocument/2006/relationships" name="Control Uplift Planner" sheetId="13" state="visible" r:id="rId13"/>
    <sheet xmlns:r="http://schemas.openxmlformats.org/officeDocument/2006/relationships" name="Standards Map" sheetId="14" state="visible" r:id="rId14"/>
    <sheet xmlns:r="http://schemas.openxmlformats.org/officeDocument/2006/relationships" name="Change Log" sheetId="15" state="visible" r:id="rId15"/>
    <sheet xmlns:r="http://schemas.openxmlformats.org/officeDocument/2006/relationships" name="Real Example" sheetId="16" state="visible" r:id="rId16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14">
    <font>
      <name val="Carlito"/>
      <sz val="11"/>
    </font>
    <font>
      <name val="Carlito"/>
      <b val="1"/>
      <color rgb="FFFFFFFF"/>
      <sz val="16"/>
    </font>
    <font>
      <name val="Carlito"/>
      <i val="1"/>
      <color rgb="FF4A5568"/>
      <sz val="10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4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name val="Arial"/>
      <b val="1"/>
      <color rgb="FFFFFFFF"/>
      <sz val="14"/>
    </font>
    <font>
      <i val="1"/>
      <sz val="9"/>
    </font>
    <font>
      <b val="1"/>
    </font>
    <font>
      <name val="Carlito"/>
      <i val="1"/>
      <color rgb="FF1F3556"/>
      <sz val="10"/>
    </font>
    <font>
      <name val="Carlito"/>
      <i val="1"/>
      <color rgb="FF1F3556"/>
      <sz val="11"/>
    </font>
  </fonts>
  <fills count="16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F7FAFC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D9EAF7"/>
      </patternFill>
    </fill>
    <fill>
      <patternFill patternType="solid">
        <fgColor rgb="FF1F3556"/>
      </patternFill>
    </fill>
    <fill>
      <patternFill patternType="solid">
        <fgColor rgb="FFEAF1F8"/>
      </patternFill>
    </fill>
    <fill>
      <patternFill patternType="solid">
        <fgColor rgb="FF1F3556"/>
      </patternFill>
    </fill>
    <fill>
      <patternFill patternType="solid">
        <fgColor rgb="FFEAF1F8"/>
      </patternFill>
    </fill>
    <fill>
      <patternFill patternType="solid">
        <fgColor rgb="FF1F3556"/>
      </patternFill>
    </fill>
    <fill>
      <patternFill patternType="solid">
        <fgColor rgb="FFEAF1F8"/>
      </patternFill>
    </fill>
    <fill>
      <patternFill patternType="solid">
        <fgColor rgb="FF1F3556"/>
      </patternFill>
    </fill>
    <fill>
      <patternFill patternType="solid">
        <fgColor rgb="FFEAF1F8"/>
      </patternFill>
    </fill>
  </fills>
  <borders count="2">
    <border/>
    <border/>
  </borders>
  <cellStyleXfs count="1">
    <xf numFmtId="0" fontId="0" fillId="0" borderId="1"/>
  </cellStyleXfs>
  <cellXfs count="17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vertical="top"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4" fillId="3" borderId="1" applyAlignment="1" pivotButton="0" quotePrefix="0" xfId="0">
      <alignment vertical="top" wrapText="1"/>
    </xf>
    <xf numFmtId="164" fontId="0" fillId="0" borderId="0" pivotButton="0" quotePrefix="0" xfId="0"/>
    <xf numFmtId="164" fontId="0" fillId="0" borderId="1" pivotButton="0" quotePrefix="0" xfId="0"/>
    <xf numFmtId="1" fontId="0" fillId="0" borderId="0" pivotButton="0" quotePrefix="0" xfId="0"/>
    <xf numFmtId="1" fontId="0" fillId="0" borderId="1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165" fontId="0" fillId="0" borderId="0" pivotButton="0" quotePrefix="0" xfId="0"/>
    <xf numFmtId="165" fontId="0" fillId="0" borderId="1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wrapText="1"/>
    </xf>
    <xf numFmtId="1" fontId="0" fillId="0" borderId="1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0" borderId="0" pivotButton="0" quotePrefix="0" xfId="0"/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8" fillId="5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7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vertical="top" wrapText="1"/>
    </xf>
    <xf numFmtId="0" fontId="9" fillId="6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9" fillId="6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wrapText="1"/>
    </xf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0" applyAlignment="1" pivotButton="0" quotePrefix="0" xfId="0">
      <alignment vertical="top" wrapText="1"/>
    </xf>
    <xf numFmtId="164" fontId="0" fillId="0" borderId="0" pivotButton="0" quotePrefix="0" xfId="0"/>
    <xf numFmtId="1" fontId="0" fillId="0" borderId="0" pivotButton="0" quotePrefix="0" xfId="0"/>
    <xf numFmtId="0" fontId="3" fillId="2" borderId="0" applyAlignment="1" pivotButton="0" quotePrefix="0" xfId="0">
      <alignment horizontal="center"/>
    </xf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top" wrapText="1"/>
    </xf>
    <xf numFmtId="0" fontId="3" fillId="2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165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/>
    </xf>
    <xf numFmtId="0" fontId="5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5" borderId="0" pivotButton="0" quotePrefix="0" xfId="0"/>
    <xf numFmtId="0" fontId="4" fillId="5" borderId="0" applyAlignment="1" pivotButton="0" quotePrefix="0" xfId="0">
      <alignment horizontal="center"/>
    </xf>
    <xf numFmtId="0" fontId="4" fillId="5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8" fillId="5" borderId="0" applyAlignment="1" pivotButton="0" quotePrefix="0" xfId="0">
      <alignment horizontal="center" wrapText="1"/>
    </xf>
    <xf numFmtId="0" fontId="6" fillId="4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top" wrapText="1"/>
    </xf>
    <xf numFmtId="0" fontId="7" fillId="0" borderId="0" applyAlignment="1" pivotButton="0" quotePrefix="0" xfId="0">
      <alignment vertical="top" wrapText="1"/>
    </xf>
    <xf numFmtId="0" fontId="7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0" fillId="0" borderId="0" applyAlignment="1" pivotButton="0" quotePrefix="0" xfId="0">
      <alignment wrapText="1"/>
    </xf>
    <xf numFmtId="0" fontId="4" fillId="0" borderId="0" applyAlignment="1" pivotButton="0" quotePrefix="0" xfId="0">
      <alignment vertical="top" wrapText="1"/>
    </xf>
    <xf numFmtId="0" fontId="1" fillId="8" borderId="0" applyAlignment="1" pivotButton="0" quotePrefix="0" xfId="0">
      <alignment horizontal="center" vertical="top" wrapText="1"/>
    </xf>
    <xf numFmtId="0" fontId="0" fillId="8" borderId="0" applyAlignment="1" pivotButton="0" quotePrefix="0" xfId="0">
      <alignment wrapText="1"/>
    </xf>
    <xf numFmtId="0" fontId="5" fillId="8" borderId="0" applyAlignment="1" pivotButton="0" quotePrefix="0" xfId="0">
      <alignment horizontal="center" vertical="top" wrapText="1"/>
    </xf>
    <xf numFmtId="0" fontId="5" fillId="8" borderId="0" applyAlignment="1" pivotButton="0" quotePrefix="0" xfId="0">
      <alignment wrapText="1"/>
    </xf>
    <xf numFmtId="0" fontId="2" fillId="9" borderId="0" applyAlignment="1" pivotButton="0" quotePrefix="0" xfId="0">
      <alignment horizontal="center" vertical="top" wrapText="1"/>
    </xf>
    <xf numFmtId="0" fontId="0" fillId="9" borderId="0" applyAlignment="1" pivotButton="0" quotePrefix="0" xfId="0">
      <alignment wrapText="1"/>
    </xf>
    <xf numFmtId="0" fontId="12" fillId="9" borderId="0" applyAlignment="1" pivotButton="0" quotePrefix="0" xfId="0">
      <alignment horizontal="center" vertical="top" wrapText="1"/>
    </xf>
    <xf numFmtId="0" fontId="13" fillId="9" borderId="0" applyAlignment="1" pivotButton="0" quotePrefix="0" xfId="0">
      <alignment wrapText="1"/>
    </xf>
    <xf numFmtId="0" fontId="3" fillId="8" borderId="0" applyAlignment="1" pivotButton="0" quotePrefix="0" xfId="0">
      <alignment horizontal="center" vertical="top" wrapText="1"/>
    </xf>
    <xf numFmtId="0" fontId="5" fillId="10" borderId="0" applyAlignment="1" pivotButton="0" quotePrefix="0" xfId="0">
      <alignment horizontal="center" vertical="top" wrapText="1"/>
    </xf>
    <xf numFmtId="0" fontId="5" fillId="10" borderId="0" applyAlignment="1" pivotButton="0" quotePrefix="0" xfId="0">
      <alignment wrapText="1"/>
    </xf>
    <xf numFmtId="0" fontId="12" fillId="11" borderId="0" applyAlignment="1" pivotButton="0" quotePrefix="0" xfId="0">
      <alignment horizontal="center" vertical="top" wrapText="1"/>
    </xf>
    <xf numFmtId="0" fontId="13" fillId="11" borderId="0" applyAlignment="1" pivotButton="0" quotePrefix="0" xfId="0">
      <alignment wrapText="1"/>
    </xf>
    <xf numFmtId="0" fontId="12" fillId="11" borderId="0" applyAlignment="1" pivotButton="0" quotePrefix="0" xfId="0">
      <alignment wrapText="1"/>
    </xf>
    <xf numFmtId="0" fontId="12" fillId="9" borderId="0" applyAlignment="1" pivotButton="0" quotePrefix="0" xfId="0">
      <alignment wrapText="1"/>
    </xf>
    <xf numFmtId="0" fontId="5" fillId="12" borderId="0" applyAlignment="1" pivotButton="0" quotePrefix="0" xfId="0">
      <alignment horizontal="center" vertical="top" wrapText="1"/>
    </xf>
    <xf numFmtId="0" fontId="12" fillId="13" borderId="0" applyAlignment="1" pivotButton="0" quotePrefix="0" xfId="0">
      <alignment horizontal="center" vertical="top" wrapText="1"/>
    </xf>
    <xf numFmtId="0" fontId="5" fillId="14" borderId="0" applyAlignment="1" pivotButton="0" quotePrefix="0" xfId="0">
      <alignment horizontal="center" vertical="top" wrapText="1"/>
    </xf>
    <xf numFmtId="0" fontId="12" fillId="15" borderId="0" applyAlignment="1" pivotButton="0" quotePrefix="0" xfId="0">
      <alignment horizontal="center" vertical="top" wrapText="1"/>
    </xf>
  </cellXfs>
  <cellStyles count="1">
    <cellStyle name="Normal" xfId="0"/>
  </cellStyles>
  <dxfs count="9">
    <dxf>
      <fill>
        <patternFill>
          <bgColor rgb="FFFFF7E0"/>
        </patternFill>
      </fill>
    </dxf>
    <dxf>
      <fill>
        <patternFill>
          <bgColor rgb="FFFCEBEA"/>
        </patternFill>
      </fill>
    </dxf>
    <dxf>
      <fill>
        <patternFill>
          <bgColor rgb="FFFCEBEA"/>
        </patternFill>
      </fill>
    </dxf>
    <dxf>
      <fill>
        <patternFill>
          <bgColor rgb="FFFFF7E0"/>
        </patternFill>
      </fill>
    </dxf>
    <dxf>
      <fill>
        <patternFill>
          <bgColor rgb="FFFCEBEA"/>
        </patternFill>
      </fill>
    </dxf>
    <dxf>
      <fill>
        <patternFill>
          <bgColor rgb="FFFCEBEA"/>
        </patternFill>
      </fill>
    </dxf>
    <dxf>
      <fill>
        <patternFill>
          <bgColor rgb="FFFFF7E0"/>
        </patternFill>
      </fill>
    </dxf>
    <dxf>
      <fill>
        <patternFill>
          <bgColor rgb="FFFCEBEA"/>
        </patternFill>
      </fill>
    </dxf>
    <dxf>
      <fill>
        <patternFill>
          <bgColor rgb="FFFCEBEA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22" customWidth="1" style="99" min="2" max="2"/>
    <col width="12" customWidth="1" style="99" min="3" max="3"/>
    <col width="12" customWidth="1" style="99" min="4" max="4"/>
    <col width="12" customWidth="1" style="99" min="5" max="5"/>
    <col width="20" customWidth="1" style="99" min="6" max="6"/>
    <col width="32" customWidth="1" style="99" min="7" max="7"/>
    <col width="58" customWidth="1" style="99" min="8" max="8"/>
  </cols>
  <sheetData>
    <row r="1" ht="28" customHeight="1" s="99">
      <c r="A1" s="56" t="inlineStr">
        <is>
          <t>Agentic Stability Framework v1.0 - Initial Public Release Dashboard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Portfolio summary for Agentic Force, Enterprise Gravity, Stability Margin, and governance readiness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Metric</t>
        </is>
      </c>
      <c r="B4" s="127" t="inlineStr">
        <is>
          <t>Value</t>
        </is>
      </c>
      <c r="C4" s="125" t="n"/>
      <c r="D4" s="127" t="inlineStr">
        <is>
          <t>Orbit</t>
        </is>
      </c>
      <c r="E4" s="127" t="inlineStr">
        <is>
          <t>Count</t>
        </is>
      </c>
      <c r="F4" s="127" t="inlineStr">
        <is>
          <t>Default Action</t>
        </is>
      </c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14" t="inlineStr">
        <is>
          <t>Total Agents</t>
        </is>
      </c>
      <c r="B5" s="129">
        <f>COUNTA(Assessment!A5:A9)</f>
        <v/>
      </c>
      <c r="C5" s="125" t="n"/>
      <c r="D5" s="114" t="inlineStr">
        <is>
          <t>Stable Orbit</t>
        </is>
      </c>
      <c r="E5" s="129">
        <f>COUNTIF(Assessment!X2:X100,"Stable Orbit")</f>
        <v/>
      </c>
      <c r="F5" s="125" t="inlineStr">
        <is>
          <t>Scale with monitoring</t>
        </is>
      </c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26.39999961853027" customHeight="1" s="99">
      <c r="A6" s="114" t="inlineStr">
        <is>
          <t>Average AFI</t>
        </is>
      </c>
      <c r="B6" s="128">
        <f>AVERAGE(Assessment!U5:U9)</f>
        <v/>
      </c>
      <c r="C6" s="125" t="n"/>
      <c r="D6" s="114" t="inlineStr">
        <is>
          <t>Controlled Orbit</t>
        </is>
      </c>
      <c r="E6" s="129">
        <f>COUNTIF(Assessment!X2:X100,"Controlled Orbit")</f>
        <v/>
      </c>
      <c r="F6" s="125" t="inlineStr">
        <is>
          <t>Proceed with controls</t>
        </is>
      </c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14" t="inlineStr">
        <is>
          <t>Average EGI</t>
        </is>
      </c>
      <c r="B7" s="128">
        <f>AVERAGE(Assessment!V5:V9)</f>
        <v/>
      </c>
      <c r="C7" s="125" t="n"/>
      <c r="D7" s="114" t="inlineStr">
        <is>
          <t>Edge Orbit</t>
        </is>
      </c>
      <c r="E7" s="129">
        <f>COUNTIF(Assessment!X2:X100,"Edge Orbit")</f>
        <v/>
      </c>
      <c r="F7" s="125" t="inlineStr">
        <is>
          <t>Pilot / limited production</t>
        </is>
      </c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14" t="inlineStr">
        <is>
          <t>Average SMI</t>
        </is>
      </c>
      <c r="B8" s="128">
        <f>AVERAGE(Assessment!W5:W9)</f>
        <v/>
      </c>
      <c r="C8" s="125" t="n"/>
      <c r="D8" s="114" t="inlineStr">
        <is>
          <t>Unstable Orbit</t>
        </is>
      </c>
      <c r="E8" s="129">
        <f>COUNTIF(Assessment!X2:X100,"Unstable Orbit")</f>
        <v/>
      </c>
      <c r="F8" s="125" t="inlineStr">
        <is>
          <t>Control uplift required</t>
        </is>
      </c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14" t="inlineStr">
        <is>
          <t>Negative SMI Agents</t>
        </is>
      </c>
      <c r="B9" s="129">
        <f>COUNTIF(Assessment!W5:W9,"&lt;0")</f>
        <v/>
      </c>
      <c r="C9" s="125" t="n"/>
      <c r="D9" s="114" t="inlineStr">
        <is>
          <t>Critical Orbit</t>
        </is>
      </c>
      <c r="E9" s="129">
        <f>COUNTIF(Assessment!X2:X100,"Critical Orbit")</f>
        <v/>
      </c>
      <c r="F9" s="125" t="inlineStr">
        <is>
          <t>Do not deploy</t>
        </is>
      </c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14" t="inlineStr">
        <is>
          <t>ABOM Missing</t>
        </is>
      </c>
      <c r="B10" s="129">
        <f>COUNTIF(Assessment!Z5:Z9,"No")</f>
        <v/>
      </c>
      <c r="C10" s="125" t="n"/>
      <c r="D10" s="125" t="str"/>
      <c r="E10" s="125" t="str"/>
      <c r="F10" s="125" t="str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14" t="inlineStr">
        <is>
          <t>Threat Model Required</t>
        </is>
      </c>
      <c r="B11" s="129">
        <f>COUNTIF(Assessment!AA5:AA9,"Yes")</f>
        <v/>
      </c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14" t="inlineStr">
        <is>
          <t>Risk Acceptance Required</t>
        </is>
      </c>
      <c r="B12" s="129">
        <f>COUNTIF(Assessment!AB5:AB104,"Yes")</f>
        <v/>
      </c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59" t="inlineStr">
        <is>
          <t>Agent Snapshot</t>
        </is>
      </c>
      <c r="B15" s="1" t="n"/>
      <c r="C15" s="1" t="n"/>
      <c r="D15" s="1" t="n"/>
      <c r="E15" s="1" t="n"/>
      <c r="F15" s="1" t="n"/>
      <c r="G15" s="1" t="n"/>
      <c r="H15" s="1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7" t="inlineStr">
        <is>
          <t>Agent</t>
        </is>
      </c>
      <c r="B16" s="127" t="inlineStr">
        <is>
          <t>Domain</t>
        </is>
      </c>
      <c r="C16" s="127" t="inlineStr">
        <is>
          <t>AFI</t>
        </is>
      </c>
      <c r="D16" s="127" t="inlineStr">
        <is>
          <t>EGI</t>
        </is>
      </c>
      <c r="E16" s="127" t="inlineStr">
        <is>
          <t>SMI</t>
        </is>
      </c>
      <c r="F16" s="127" t="inlineStr">
        <is>
          <t>Orbit</t>
        </is>
      </c>
      <c r="G16" s="127" t="inlineStr">
        <is>
          <t>Decision</t>
        </is>
      </c>
      <c r="H16" s="127" t="inlineStr">
        <is>
          <t>Next Uplift</t>
        </is>
      </c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52.79999923706055" customHeight="1" s="99">
      <c r="A17" s="125">
        <f>Assessment!A5</f>
        <v/>
      </c>
      <c r="B17" s="125">
        <f>Assessment!B5</f>
        <v/>
      </c>
      <c r="C17" s="128">
        <f>Assessment!U5</f>
        <v/>
      </c>
      <c r="D17" s="128">
        <f>Assessment!V5</f>
        <v/>
      </c>
      <c r="E17" s="128">
        <f>Assessment!W5</f>
        <v/>
      </c>
      <c r="F17" s="125">
        <f>Assessment!X5</f>
        <v/>
      </c>
      <c r="G17" s="125">
        <f>Assessment!Y5</f>
        <v/>
      </c>
      <c r="H17" s="125">
        <f>Assessment!AE5</f>
        <v/>
      </c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>
        <f>Assessment!A6</f>
        <v/>
      </c>
      <c r="B18" s="125">
        <f>Assessment!B6</f>
        <v/>
      </c>
      <c r="C18" s="128">
        <f>Assessment!U6</f>
        <v/>
      </c>
      <c r="D18" s="128">
        <f>Assessment!V6</f>
        <v/>
      </c>
      <c r="E18" s="128">
        <f>Assessment!W6</f>
        <v/>
      </c>
      <c r="F18" s="125">
        <f>Assessment!X6</f>
        <v/>
      </c>
      <c r="G18" s="125">
        <f>Assessment!Y6</f>
        <v/>
      </c>
      <c r="H18" s="125">
        <f>Assessment!AE6</f>
        <v/>
      </c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>
        <f>Assessment!A7</f>
        <v/>
      </c>
      <c r="B19" s="125">
        <f>Assessment!B7</f>
        <v/>
      </c>
      <c r="C19" s="128">
        <f>Assessment!U7</f>
        <v/>
      </c>
      <c r="D19" s="128">
        <f>Assessment!V7</f>
        <v/>
      </c>
      <c r="E19" s="128">
        <f>Assessment!W7</f>
        <v/>
      </c>
      <c r="F19" s="125">
        <f>Assessment!X7</f>
        <v/>
      </c>
      <c r="G19" s="125">
        <f>Assessment!Y7</f>
        <v/>
      </c>
      <c r="H19" s="125">
        <f>Assessment!AE7</f>
        <v/>
      </c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>
        <f>Assessment!A8</f>
        <v/>
      </c>
      <c r="B20" s="125">
        <f>Assessment!B8</f>
        <v/>
      </c>
      <c r="C20" s="128">
        <f>Assessment!U8</f>
        <v/>
      </c>
      <c r="D20" s="128">
        <f>Assessment!V8</f>
        <v/>
      </c>
      <c r="E20" s="128">
        <f>Assessment!W8</f>
        <v/>
      </c>
      <c r="F20" s="125">
        <f>Assessment!X8</f>
        <v/>
      </c>
      <c r="G20" s="125">
        <f>Assessment!Y8</f>
        <v/>
      </c>
      <c r="H20" s="125">
        <f>Assessment!AE8</f>
        <v/>
      </c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>
        <f>Assessment!A9</f>
        <v/>
      </c>
      <c r="B21" s="125">
        <f>Assessment!B9</f>
        <v/>
      </c>
      <c r="C21" s="128">
        <f>Assessment!U9</f>
        <v/>
      </c>
      <c r="D21" s="128">
        <f>Assessment!V9</f>
        <v/>
      </c>
      <c r="E21" s="128">
        <f>Assessment!W9</f>
        <v/>
      </c>
      <c r="F21" s="125">
        <f>Assessment!X9</f>
        <v/>
      </c>
      <c r="G21" s="125">
        <f>Assessment!Y9</f>
        <v/>
      </c>
      <c r="H21" s="125">
        <f>Assessment!AE9</f>
        <v/>
      </c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38" customHeight="1" s="99">
      <c r="A22" s="125" t="str"/>
      <c r="B22" s="125" t="str"/>
      <c r="C22" s="125" t="str"/>
      <c r="D22" s="125" t="str"/>
      <c r="E22" s="125" t="str"/>
      <c r="F22" s="125" t="str"/>
      <c r="G22" s="125" t="str"/>
      <c r="H22" s="125" t="str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3">
    <mergeCell ref="A1:H1"/>
    <mergeCell ref="A2:H2"/>
    <mergeCell ref="A15:H15"/>
  </mergeCells>
  <conditionalFormatting sqref="B5:B12">
    <cfRule type="cellIs" priority="1" operator="greaterThan" dxfId="0">
      <formula>0</formula>
    </cfRule>
  </conditionalFormatting>
  <conditionalFormatting sqref="B9:B12">
    <cfRule type="cellIs" priority="2" operator="greaterThan" dxfId="1">
      <formula>0</formula>
    </cfRule>
  </conditionalFormatting>
  <conditionalFormatting sqref="E17:E21">
    <cfRule type="cellIs" priority="3" operator="lessThan" dxfId="1">
      <formula>0</formula>
    </cfRule>
  </conditionalFormatting>
  <conditionalFormatting sqref="F17:F21">
    <cfRule type="expression" priority="4" dxfId="0">
      <formula>F17="Edge Orbit"</formula>
    </cfRule>
    <cfRule type="expression" priority="5" dxfId="1">
      <formula>OR(F17="Unstable Orbit",F17="Critical Orbit")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8" customWidth="1" style="99" min="1" max="1"/>
    <col width="22" customWidth="1" style="99" min="2" max="2"/>
    <col width="24" customWidth="1" style="99" min="3" max="3"/>
    <col width="14" customWidth="1" style="99" min="4" max="4"/>
    <col width="16" customWidth="1" style="99" min="5" max="5"/>
    <col width="16" customWidth="1" style="99" min="6" max="6"/>
    <col width="16" customWidth="1" style="99" min="7" max="7"/>
    <col width="18" customWidth="1" style="99" min="8" max="8"/>
    <col width="14" customWidth="1" style="99" min="9" max="9"/>
    <col width="19" customWidth="1" style="99" min="10" max="10"/>
    <col width="18" customWidth="1" style="99" min="11" max="11"/>
    <col width="14" customWidth="1" style="99" min="12" max="12"/>
    <col width="16" customWidth="1" style="99" min="13" max="13"/>
    <col width="18" customWidth="1" style="99" min="14" max="14"/>
    <col width="16" customWidth="1" style="99" min="15" max="15"/>
    <col width="22" customWidth="1" style="99" min="16" max="16"/>
    <col width="20" customWidth="1" style="99" min="17" max="17"/>
    <col width="20" customWidth="1" style="99" min="18" max="18"/>
    <col width="16" customWidth="1" style="99" min="19" max="19"/>
    <col width="35" customWidth="1" style="99" min="20" max="20"/>
    <col width="10" customWidth="1" style="99" min="21" max="21"/>
    <col width="10" customWidth="1" style="99" min="22" max="22"/>
    <col width="10" customWidth="1" style="99" min="23" max="23"/>
    <col width="18" customWidth="1" style="99" min="24" max="24"/>
    <col width="34" customWidth="1" style="99" min="25" max="25"/>
    <col width="16" customWidth="1" style="99" min="26" max="26"/>
    <col width="20" customWidth="1" style="99" min="27" max="27"/>
    <col width="22" customWidth="1" style="99" min="28" max="28"/>
    <col width="22" customWidth="1" style="99" min="29" max="29"/>
    <col width="22" customWidth="1" style="99" min="30" max="30"/>
    <col width="46" customWidth="1" style="99" min="31" max="31"/>
    <col width="14" customWidth="1" style="99" min="32" max="32"/>
  </cols>
  <sheetData>
    <row r="1" ht="38.40000152587891" customHeight="1" s="99">
      <c r="A1" s="56" t="inlineStr">
        <is>
          <t>ASF Agentic System Instance Assessment v1.0 - Initial Public Release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Enter force/gravity scores for the deployed agentic system instance. Formulas compute AFI, EGI, SMI, orbit, and action.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26.39999961853027" customHeight="1" s="99">
      <c r="A4" s="127" t="inlineStr">
        <is>
          <t>Agent Name</t>
        </is>
      </c>
      <c r="B4" s="127" t="inlineStr">
        <is>
          <t>Domain Overlay</t>
        </is>
      </c>
      <c r="C4" s="127" t="inlineStr">
        <is>
          <t>Deployment Zone</t>
        </is>
      </c>
      <c r="D4" s="127" t="inlineStr">
        <is>
          <t>Scoring Mode</t>
        </is>
      </c>
      <c r="E4" s="127" t="inlineStr">
        <is>
          <t>Decision Autonomy</t>
        </is>
      </c>
      <c r="F4" s="127" t="inlineStr">
        <is>
          <t>Decision Velocity</t>
        </is>
      </c>
      <c r="G4" s="127" t="inlineStr">
        <is>
          <t>Operational Reach</t>
        </is>
      </c>
      <c r="H4" s="127" t="inlineStr">
        <is>
          <t>Operational Criticality</t>
        </is>
      </c>
      <c r="I4" s="127" t="inlineStr">
        <is>
          <t>Adaptability</t>
        </is>
      </c>
      <c r="J4" s="127" t="inlineStr">
        <is>
          <t>Collaboration Complexity</t>
        </is>
      </c>
      <c r="K4" s="127" t="inlineStr">
        <is>
          <t>Persistence and Memory</t>
        </is>
      </c>
      <c r="L4" s="127" t="inlineStr">
        <is>
          <t>Identity</t>
        </is>
      </c>
      <c r="M4" s="127" t="inlineStr">
        <is>
          <t>Authorization</t>
        </is>
      </c>
      <c r="N4" s="127" t="inlineStr">
        <is>
          <t>Policy Enforcement</t>
        </is>
      </c>
      <c r="O4" s="127" t="inlineStr">
        <is>
          <t>Observability</t>
        </is>
      </c>
      <c r="P4" s="127" t="inlineStr">
        <is>
          <t>Governance and Lifecycle</t>
        </is>
      </c>
      <c r="Q4" s="127" t="inlineStr">
        <is>
          <t>Recovery and Resilience</t>
        </is>
      </c>
      <c r="R4" s="127" t="inlineStr">
        <is>
          <t>Assurance and Evaluation</t>
        </is>
      </c>
      <c r="S4" s="127" t="inlineStr">
        <is>
          <t>Min Evidence Tier</t>
        </is>
      </c>
      <c r="T4" s="127" t="inlineStr">
        <is>
          <t>Evidence Warning</t>
        </is>
      </c>
      <c r="U4" s="127" t="inlineStr">
        <is>
          <t>AFI</t>
        </is>
      </c>
      <c r="V4" s="127" t="inlineStr">
        <is>
          <t>EGI</t>
        </is>
      </c>
      <c r="W4" s="127" t="inlineStr">
        <is>
          <t>SMI</t>
        </is>
      </c>
      <c r="X4" s="127" t="inlineStr">
        <is>
          <t>Orbit</t>
        </is>
      </c>
      <c r="Y4" s="127" t="inlineStr">
        <is>
          <t>Deployment Decision</t>
        </is>
      </c>
      <c r="Z4" s="127" t="inlineStr">
        <is>
          <t>ABOM Complete</t>
        </is>
      </c>
      <c r="AA4" s="127" t="inlineStr">
        <is>
          <t>Threat Model Required</t>
        </is>
      </c>
      <c r="AB4" s="127" t="inlineStr">
        <is>
          <t>Risk Acceptance Required</t>
        </is>
      </c>
      <c r="AC4" s="127" t="inlineStr">
        <is>
          <t>Weakest Gravity</t>
        </is>
      </c>
      <c r="AD4" s="127" t="inlineStr">
        <is>
          <t>Highest Force</t>
        </is>
      </c>
      <c r="AE4" s="127" t="inlineStr">
        <is>
          <t>Next Control Uplift</t>
        </is>
      </c>
      <c r="AF4" s="127" t="inlineStr">
        <is>
          <t>Review Date</t>
        </is>
      </c>
    </row>
    <row r="5" ht="15" customHeight="1" s="99">
      <c r="A5" s="125" t="inlineStr">
        <is>
          <t>Documentation Assistant</t>
        </is>
      </c>
      <c r="B5" s="125" t="inlineStr">
        <is>
          <t>Knowledge / Documentation</t>
        </is>
      </c>
      <c r="C5" s="125" t="inlineStr">
        <is>
          <t>Assisted Zone</t>
        </is>
      </c>
      <c r="D5" s="125" t="inlineStr">
        <is>
          <t>Basic</t>
        </is>
      </c>
      <c r="E5" s="125" t="n">
        <v>1</v>
      </c>
      <c r="F5" s="125" t="n">
        <v>1</v>
      </c>
      <c r="G5" s="125" t="n">
        <v>1</v>
      </c>
      <c r="H5" s="125" t="n">
        <v>1</v>
      </c>
      <c r="I5" s="125" t="n">
        <v>1</v>
      </c>
      <c r="J5" s="125" t="n">
        <v>1</v>
      </c>
      <c r="K5" s="125" t="n">
        <v>1</v>
      </c>
      <c r="L5" s="125" t="n">
        <v>4</v>
      </c>
      <c r="M5" s="125" t="n">
        <v>4</v>
      </c>
      <c r="N5" s="125" t="n">
        <v>3</v>
      </c>
      <c r="O5" s="125" t="n">
        <v>4</v>
      </c>
      <c r="P5" s="125" t="n">
        <v>4</v>
      </c>
      <c r="Q5" s="125" t="n">
        <v>3</v>
      </c>
      <c r="R5" s="125" t="n">
        <v>3</v>
      </c>
      <c r="S5" s="125" t="n">
        <v>3</v>
      </c>
      <c r="T5" s="125">
        <f>IF(AND(MAX(L5:R5)&gt;3,S5&lt;3),"Warning: EGI &gt;3 needs Tier 3+ evidence",IF(AND(C5="Autonomous Operations Zone",S5&lt;4),"Warning: Autonomous zone needs Tier 4 evidence","OK"))</f>
        <v/>
      </c>
      <c r="U5" s="128">
        <f>IF($A5="","",IF($D5="Basic",SUM(E5:K5)/35*100,SUMPRODUCT(E5:K5,XLOOKUP($B5,'Weighted Scoring'!$A$5:$A$13,'Weighted Scoring'!$B$5:$H$13))/SUMPRODUCT(5,XLOOKUP($B5,'Weighted Scoring'!$A$5:$A$13,'Weighted Scoring'!$B$5:$H$13))*100))</f>
        <v/>
      </c>
      <c r="V5" s="128">
        <f>IF($A5="","",IF($D5="Basic",SUM(L5:R5)/35*100,SUMPRODUCT(L5:R5,XLOOKUP($B5,'Weighted Scoring'!$A$5:$A$13,'Weighted Scoring'!$I$5:$O$13))/SUMPRODUCT(5,XLOOKUP($B5,'Weighted Scoring'!$A$5:$A$13,'Weighted Scoring'!$I$5:$O$13))*100))</f>
        <v/>
      </c>
      <c r="W5" s="128">
        <f>IF($A5="","",V5-U5)</f>
        <v/>
      </c>
      <c r="X5" s="125">
        <f>IF($A5="","",IFS(W5&gt;=40,"Stable Orbit",W5&gt;=15,"Controlled Orbit",W5&gt;=-14,"Edge Orbit",W5&gt;=-39,"Unstable Orbit",TRUE,"Critical Orbit"))</f>
        <v/>
      </c>
      <c r="Y5" s="125">
        <f>IF($A5="","",XLOOKUP(X5,'Deployment Gates'!$A$5:$A$9,'Deployment Gates'!$C$5:$C$9))</f>
        <v/>
      </c>
      <c r="Z5" s="125" t="inlineStr">
        <is>
          <t>Yes</t>
        </is>
      </c>
      <c r="AA5" s="125">
        <f>IF($A5="","",IF(OR(X5="Edge Orbit",X5="Unstable Orbit",X5="Critical Orbit",H5&gt;=4,G5&gt;=4,E5&gt;=4,J5&gt;=4),"Yes","No"))</f>
        <v/>
      </c>
      <c r="AB5" s="125">
        <f>IF($A5="","",IF(W5&lt;0,"Yes","No"))</f>
        <v/>
      </c>
      <c r="AC5" s="125">
        <f>IF($A5="","",INDEX($L$4:$R$4,1,MATCH(MIN(L5:R5),L5:R5,0)))</f>
        <v/>
      </c>
      <c r="AD5" s="125">
        <f>IF($A5="","",INDEX($E$4:$K$4,1,MATCH(MAX(E5:K5),E5:K5,0)))</f>
        <v/>
      </c>
      <c r="AE5" s="125">
        <f>IF($A5="","",XLOOKUP(AC5,'Control Uplift Planner'!$A$5:$A$11,'Control Uplift Planner'!$B$5:$B$11))</f>
        <v/>
      </c>
      <c r="AF5" s="131" t="inlineStr">
        <is>
          <t>2026-09-30</t>
        </is>
      </c>
    </row>
    <row r="6" ht="15" customHeight="1" s="99">
      <c r="A6" s="125" t="inlineStr">
        <is>
          <t>Client-Request Automation Agent</t>
        </is>
      </c>
      <c r="B6" s="125" t="inlineStr">
        <is>
          <t>Financial Operations</t>
        </is>
      </c>
      <c r="C6" s="125" t="inlineStr">
        <is>
          <t>Governed Operations Zone</t>
        </is>
      </c>
      <c r="D6" s="125" t="inlineStr">
        <is>
          <t>Basic</t>
        </is>
      </c>
      <c r="E6" s="125" t="n">
        <v>3</v>
      </c>
      <c r="F6" s="125" t="n">
        <v>3</v>
      </c>
      <c r="G6" s="125" t="n">
        <v>3</v>
      </c>
      <c r="H6" s="125" t="n">
        <v>5</v>
      </c>
      <c r="I6" s="125" t="n">
        <v>3</v>
      </c>
      <c r="J6" s="125" t="n">
        <v>2</v>
      </c>
      <c r="K6" s="125" t="n">
        <v>2</v>
      </c>
      <c r="L6" s="125" t="n">
        <v>4</v>
      </c>
      <c r="M6" s="125" t="n">
        <v>4</v>
      </c>
      <c r="N6" s="125" t="n">
        <v>4</v>
      </c>
      <c r="O6" s="125" t="n">
        <v>3</v>
      </c>
      <c r="P6" s="125" t="n">
        <v>3</v>
      </c>
      <c r="Q6" s="125" t="n">
        <v>3</v>
      </c>
      <c r="R6" s="125" t="n">
        <v>2</v>
      </c>
      <c r="S6" s="125" t="n">
        <v>3</v>
      </c>
      <c r="T6" s="125">
        <f>IF(AND(MAX(L6:R6)&gt;3,S6&lt;3),"Warning: EGI &gt;3 needs Tier 3+ evidence",IF(AND(C6="Autonomous Operations Zone",S6&lt;4),"Warning: Autonomous zone needs Tier 4 evidence","OK"))</f>
        <v/>
      </c>
      <c r="U6" s="128">
        <f>IF($A6="","",IF($D6="Basic",SUM(E6:K6)/35*100,SUMPRODUCT(E6:K6,XLOOKUP($B6,'Weighted Scoring'!$A$5:$A$13,'Weighted Scoring'!$B$5:$H$13))/SUMPRODUCT(5,XLOOKUP($B6,'Weighted Scoring'!$A$5:$A$13,'Weighted Scoring'!$B$5:$H$13))*100))</f>
        <v/>
      </c>
      <c r="V6" s="128">
        <f>IF($A6="","",IF($D6="Basic",SUM(L6:R6)/35*100,SUMPRODUCT(L6:R6,XLOOKUP($B6,'Weighted Scoring'!$A$5:$A$13,'Weighted Scoring'!$I$5:$O$13))/SUMPRODUCT(5,XLOOKUP($B6,'Weighted Scoring'!$A$5:$A$13,'Weighted Scoring'!$I$5:$O$13))*100))</f>
        <v/>
      </c>
      <c r="W6" s="128">
        <f>IF($A6="","",V6-U6)</f>
        <v/>
      </c>
      <c r="X6" s="125">
        <f>IF($A6="","",IFS(W6&gt;=40,"Stable Orbit",W6&gt;=15,"Controlled Orbit",W6&gt;=-14,"Edge Orbit",W6&gt;=-39,"Unstable Orbit",TRUE,"Critical Orbit"))</f>
        <v/>
      </c>
      <c r="Y6" s="125">
        <f>IF($A6="","",XLOOKUP(X6,'Deployment Gates'!$A$5:$A$9,'Deployment Gates'!$C$5:$C$9))</f>
        <v/>
      </c>
      <c r="Z6" s="125" t="inlineStr">
        <is>
          <t>Yes</t>
        </is>
      </c>
      <c r="AA6" s="125">
        <f>IF($A6="","",IF(OR(X6="Edge Orbit",X6="Unstable Orbit",X6="Critical Orbit",H6&gt;=4,G6&gt;=4,E6&gt;=4,J6&gt;=4),"Yes","No"))</f>
        <v/>
      </c>
      <c r="AB6" s="125">
        <f>IF($A6="","",IF(W6&lt;0,"Yes","No"))</f>
        <v/>
      </c>
      <c r="AC6" s="125">
        <f>IF($A6="","",INDEX($L$4:$R$4,1,MATCH(MIN(L6:R6),L6:R6,0)))</f>
        <v/>
      </c>
      <c r="AD6" s="125">
        <f>IF($A6="","",INDEX($E$4:$K$4,1,MATCH(MAX(E6:K6),E6:K6,0)))</f>
        <v/>
      </c>
      <c r="AE6" s="125">
        <f>IF($A6="","",XLOOKUP(AC6,'Control Uplift Planner'!$A$5:$A$11,'Control Uplift Planner'!$B$5:$B$11))</f>
        <v/>
      </c>
      <c r="AF6" s="131" t="inlineStr">
        <is>
          <t>2026-09-30</t>
        </is>
      </c>
    </row>
    <row r="7" ht="15" customHeight="1" s="99">
      <c r="A7" s="125" t="inlineStr">
        <is>
          <t>Kubernetes Deployment Agent</t>
        </is>
      </c>
      <c r="B7" s="125" t="inlineStr">
        <is>
          <t>Software Delivery</t>
        </is>
      </c>
      <c r="C7" s="125" t="inlineStr">
        <is>
          <t>Governed Operations Zone</t>
        </is>
      </c>
      <c r="D7" s="125" t="inlineStr">
        <is>
          <t>Basic</t>
        </is>
      </c>
      <c r="E7" s="125" t="n">
        <v>4</v>
      </c>
      <c r="F7" s="125" t="n">
        <v>3</v>
      </c>
      <c r="G7" s="125" t="n">
        <v>4</v>
      </c>
      <c r="H7" s="125" t="n">
        <v>4</v>
      </c>
      <c r="I7" s="125" t="n">
        <v>3</v>
      </c>
      <c r="J7" s="125" t="n">
        <v>2</v>
      </c>
      <c r="K7" s="125" t="n">
        <v>3</v>
      </c>
      <c r="L7" s="125" t="n">
        <v>4</v>
      </c>
      <c r="M7" s="125" t="n">
        <v>3</v>
      </c>
      <c r="N7" s="125" t="n">
        <v>4</v>
      </c>
      <c r="O7" s="125" t="n">
        <v>3</v>
      </c>
      <c r="P7" s="125" t="n">
        <v>3</v>
      </c>
      <c r="Q7" s="125" t="n">
        <v>4</v>
      </c>
      <c r="R7" s="125" t="n">
        <v>2</v>
      </c>
      <c r="S7" s="125" t="n">
        <v>3</v>
      </c>
      <c r="T7" s="125">
        <f>IF(AND(MAX(L7:R7)&gt;3,S7&lt;3),"Warning: EGI &gt;3 needs Tier 3+ evidence",IF(AND(C7="Autonomous Operations Zone",S7&lt;4),"Warning: Autonomous zone needs Tier 4 evidence","OK"))</f>
        <v/>
      </c>
      <c r="U7" s="128">
        <f>IF($A7="","",IF($D7="Basic",SUM(E7:K7)/35*100,SUMPRODUCT(E7:K7,XLOOKUP($B7,'Weighted Scoring'!$A$5:$A$13,'Weighted Scoring'!$B$5:$H$13))/SUMPRODUCT(5,XLOOKUP($B7,'Weighted Scoring'!$A$5:$A$13,'Weighted Scoring'!$B$5:$H$13))*100))</f>
        <v/>
      </c>
      <c r="V7" s="128">
        <f>IF($A7="","",IF($D7="Basic",SUM(L7:R7)/35*100,SUMPRODUCT(L7:R7,XLOOKUP($B7,'Weighted Scoring'!$A$5:$A$13,'Weighted Scoring'!$I$5:$O$13))/SUMPRODUCT(5,XLOOKUP($B7,'Weighted Scoring'!$A$5:$A$13,'Weighted Scoring'!$I$5:$O$13))*100))</f>
        <v/>
      </c>
      <c r="W7" s="128">
        <f>IF($A7="","",V7-U7)</f>
        <v/>
      </c>
      <c r="X7" s="125">
        <f>IF($A7="","",IFS(W7&gt;=40,"Stable Orbit",W7&gt;=15,"Controlled Orbit",W7&gt;=-14,"Edge Orbit",W7&gt;=-39,"Unstable Orbit",TRUE,"Critical Orbit"))</f>
        <v/>
      </c>
      <c r="Y7" s="125">
        <f>IF($A7="","",XLOOKUP(X7,'Deployment Gates'!$A$5:$A$9,'Deployment Gates'!$C$5:$C$9))</f>
        <v/>
      </c>
      <c r="Z7" s="125" t="inlineStr">
        <is>
          <t>Yes</t>
        </is>
      </c>
      <c r="AA7" s="125">
        <f>IF($A7="","",IF(OR(X7="Edge Orbit",X7="Unstable Orbit",X7="Critical Orbit",H7&gt;=4,G7&gt;=4,E7&gt;=4,J7&gt;=4),"Yes","No"))</f>
        <v/>
      </c>
      <c r="AB7" s="125">
        <f>IF($A7="","",IF(W7&lt;0,"Yes","No"))</f>
        <v/>
      </c>
      <c r="AC7" s="125">
        <f>IF($A7="","",INDEX($L$4:$R$4,1,MATCH(MIN(L7:R7),L7:R7,0)))</f>
        <v/>
      </c>
      <c r="AD7" s="125">
        <f>IF($A7="","",INDEX($E$4:$K$4,1,MATCH(MAX(E7:K7),E7:K7,0)))</f>
        <v/>
      </c>
      <c r="AE7" s="125">
        <f>IF($A7="","",XLOOKUP(AC7,'Control Uplift Planner'!$A$5:$A$11,'Control Uplift Planner'!$B$5:$B$11))</f>
        <v/>
      </c>
      <c r="AF7" s="131" t="inlineStr">
        <is>
          <t>2026-08-31</t>
        </is>
      </c>
    </row>
    <row r="8" ht="26.39999961853027" customHeight="1" s="99">
      <c r="A8" s="125" t="inlineStr">
        <is>
          <t>Multi-Agent SDLC Workflow</t>
        </is>
      </c>
      <c r="B8" s="125" t="inlineStr">
        <is>
          <t>Multi-Agent SDLC</t>
        </is>
      </c>
      <c r="C8" s="125" t="inlineStr">
        <is>
          <t>Assisted Zone</t>
        </is>
      </c>
      <c r="D8" s="125" t="inlineStr">
        <is>
          <t>Basic</t>
        </is>
      </c>
      <c r="E8" s="125" t="n">
        <v>4</v>
      </c>
      <c r="F8" s="125" t="n">
        <v>3</v>
      </c>
      <c r="G8" s="125" t="n">
        <v>4</v>
      </c>
      <c r="H8" s="125" t="n">
        <v>4</v>
      </c>
      <c r="I8" s="125" t="n">
        <v>4</v>
      </c>
      <c r="J8" s="125" t="n">
        <v>4</v>
      </c>
      <c r="K8" s="125" t="n">
        <v>3</v>
      </c>
      <c r="L8" s="125" t="n">
        <v>3</v>
      </c>
      <c r="M8" s="125" t="n">
        <v>3</v>
      </c>
      <c r="N8" s="125" t="n">
        <v>3</v>
      </c>
      <c r="O8" s="125" t="n">
        <v>4</v>
      </c>
      <c r="P8" s="125" t="n">
        <v>3</v>
      </c>
      <c r="Q8" s="125" t="n">
        <v>3</v>
      </c>
      <c r="R8" s="125" t="n">
        <v>3</v>
      </c>
      <c r="S8" s="125" t="n">
        <v>3</v>
      </c>
      <c r="T8" s="125">
        <f>IF(AND(MAX(L8:R8)&gt;3,S8&lt;3),"Warning: EGI &gt;3 needs Tier 3+ evidence",IF(AND(C8="Autonomous Operations Zone",S8&lt;4),"Warning: Autonomous zone needs Tier 4 evidence","OK"))</f>
        <v/>
      </c>
      <c r="U8" s="128">
        <f>IF($A8="","",IF($D8="Basic",SUM(E8:K8)/35*100,SUMPRODUCT(E8:K8,XLOOKUP($B8,'Weighted Scoring'!$A$5:$A$13,'Weighted Scoring'!$B$5:$H$13))/SUMPRODUCT(5,XLOOKUP($B8,'Weighted Scoring'!$A$5:$A$13,'Weighted Scoring'!$B$5:$H$13))*100))</f>
        <v/>
      </c>
      <c r="V8" s="128">
        <f>IF($A8="","",IF($D8="Basic",SUM(L8:R8)/35*100,SUMPRODUCT(L8:R8,XLOOKUP($B8,'Weighted Scoring'!$A$5:$A$13,'Weighted Scoring'!$I$5:$O$13))/SUMPRODUCT(5,XLOOKUP($B8,'Weighted Scoring'!$A$5:$A$13,'Weighted Scoring'!$I$5:$O$13))*100))</f>
        <v/>
      </c>
      <c r="W8" s="128">
        <f>IF($A8="","",V8-U8)</f>
        <v/>
      </c>
      <c r="X8" s="125">
        <f>IF($A8="","",IFS(W8&gt;=40,"Stable Orbit",W8&gt;=15,"Controlled Orbit",W8&gt;=-14,"Edge Orbit",W8&gt;=-39,"Unstable Orbit",TRUE,"Critical Orbit"))</f>
        <v/>
      </c>
      <c r="Y8" s="125">
        <f>IF($A8="","",XLOOKUP(X8,'Deployment Gates'!$A$5:$A$9,'Deployment Gates'!$C$5:$C$9))</f>
        <v/>
      </c>
      <c r="Z8" s="125" t="inlineStr">
        <is>
          <t>No</t>
        </is>
      </c>
      <c r="AA8" s="125">
        <f>IF($A8="","",IF(OR(X8="Edge Orbit",X8="Unstable Orbit",X8="Critical Orbit",H8&gt;=4,G8&gt;=4,E8&gt;=4,J8&gt;=4),"Yes","No"))</f>
        <v/>
      </c>
      <c r="AB8" s="125">
        <f>IF($A8="","",IF(W8&lt;0,"Yes","No"))</f>
        <v/>
      </c>
      <c r="AC8" s="125">
        <f>IF($A8="","",INDEX($L$4:$R$4,1,MATCH(MIN(L8:R8),L8:R8,0)))</f>
        <v/>
      </c>
      <c r="AD8" s="125">
        <f>IF($A8="","",INDEX($E$4:$K$4,1,MATCH(MAX(E8:K8),E8:K8,0)))</f>
        <v/>
      </c>
      <c r="AE8" s="125">
        <f>IF($A8="","",XLOOKUP(AC8,'Control Uplift Planner'!$A$5:$A$11,'Control Uplift Planner'!$B$5:$B$11))</f>
        <v/>
      </c>
      <c r="AF8" s="131" t="inlineStr">
        <is>
          <t>2026-08-31</t>
        </is>
      </c>
    </row>
    <row r="9" ht="26.39999961853027" customHeight="1" s="99">
      <c r="A9" s="125" t="inlineStr">
        <is>
          <t>Autonomous Production Remediation Agent</t>
        </is>
      </c>
      <c r="B9" s="125" t="inlineStr">
        <is>
          <t>Cloud / Infrastructure</t>
        </is>
      </c>
      <c r="C9" s="125" t="inlineStr">
        <is>
          <t>Autonomous Operations Zone</t>
        </is>
      </c>
      <c r="D9" s="125" t="inlineStr">
        <is>
          <t>Basic</t>
        </is>
      </c>
      <c r="E9" s="125" t="n">
        <v>5</v>
      </c>
      <c r="F9" s="125" t="n">
        <v>4</v>
      </c>
      <c r="G9" s="125" t="n">
        <v>5</v>
      </c>
      <c r="H9" s="125" t="n">
        <v>5</v>
      </c>
      <c r="I9" s="125" t="n">
        <v>4</v>
      </c>
      <c r="J9" s="125" t="n">
        <v>3</v>
      </c>
      <c r="K9" s="125" t="n">
        <v>5</v>
      </c>
      <c r="L9" s="125" t="n">
        <v>4</v>
      </c>
      <c r="M9" s="125" t="n">
        <v>4</v>
      </c>
      <c r="N9" s="125" t="n">
        <v>4</v>
      </c>
      <c r="O9" s="125" t="n">
        <v>3</v>
      </c>
      <c r="P9" s="125" t="n">
        <v>3</v>
      </c>
      <c r="Q9" s="125" t="n">
        <v>4</v>
      </c>
      <c r="R9" s="125" t="n">
        <v>2</v>
      </c>
      <c r="S9" s="125" t="n">
        <v>3</v>
      </c>
      <c r="T9" s="125">
        <f>IF(AND(MAX(L9:R9)&gt;3,S9&lt;3),"Warning: EGI &gt;3 needs Tier 3+ evidence",IF(AND(C9="Autonomous Operations Zone",S9&lt;4),"Warning: Autonomous zone needs Tier 4 evidence","OK"))</f>
        <v/>
      </c>
      <c r="U9" s="128">
        <f>IF($A9="","",IF($D9="Basic",SUM(E9:K9)/35*100,SUMPRODUCT(E9:K9,XLOOKUP($B9,'Weighted Scoring'!$A$5:$A$13,'Weighted Scoring'!$B$5:$H$13))/SUMPRODUCT(5,XLOOKUP($B9,'Weighted Scoring'!$A$5:$A$13,'Weighted Scoring'!$B$5:$H$13))*100))</f>
        <v/>
      </c>
      <c r="V9" s="128">
        <f>IF($A9="","",IF($D9="Basic",SUM(L9:R9)/35*100,SUMPRODUCT(L9:R9,XLOOKUP($B9,'Weighted Scoring'!$A$5:$A$13,'Weighted Scoring'!$I$5:$O$13))/SUMPRODUCT(5,XLOOKUP($B9,'Weighted Scoring'!$A$5:$A$13,'Weighted Scoring'!$I$5:$O$13))*100))</f>
        <v/>
      </c>
      <c r="W9" s="128">
        <f>IF($A9="","",V9-U9)</f>
        <v/>
      </c>
      <c r="X9" s="125">
        <f>IF($A9="","",IFS(W9&gt;=40,"Stable Orbit",W9&gt;=15,"Controlled Orbit",W9&gt;=-14,"Edge Orbit",W9&gt;=-39,"Unstable Orbit",TRUE,"Critical Orbit"))</f>
        <v/>
      </c>
      <c r="Y9" s="125">
        <f>IF($A9="","",XLOOKUP(X9,'Deployment Gates'!$A$5:$A$9,'Deployment Gates'!$C$5:$C$9))</f>
        <v/>
      </c>
      <c r="Z9" s="125" t="inlineStr">
        <is>
          <t>No</t>
        </is>
      </c>
      <c r="AA9" s="125">
        <f>IF($A9="","",IF(OR(X9="Edge Orbit",X9="Unstable Orbit",X9="Critical Orbit",H9&gt;=4,G9&gt;=4,E9&gt;=4,J9&gt;=4),"Yes","No"))</f>
        <v/>
      </c>
      <c r="AB9" s="125">
        <f>IF($A9="","",IF(W9&lt;0,"Yes","No"))</f>
        <v/>
      </c>
      <c r="AC9" s="125">
        <f>IF($A9="","",INDEX($L$4:$R$4,1,MATCH(MIN(L9:R9),L9:R9,0)))</f>
        <v/>
      </c>
      <c r="AD9" s="125">
        <f>IF($A9="","",INDEX($E$4:$K$4,1,MATCH(MAX(E9:K9),E9:K9,0)))</f>
        <v/>
      </c>
      <c r="AE9" s="125">
        <f>IF($A9="","",XLOOKUP(AC9,'Control Uplift Planner'!$A$5:$A$11,'Control Uplift Planner'!$B$5:$B$11))</f>
        <v/>
      </c>
      <c r="AF9" s="131" t="inlineStr">
        <is>
          <t>2026-07-31</t>
        </is>
      </c>
    </row>
    <row r="10" ht="15" customHeight="1" s="99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>
        <f>IF(AND(MAX(L10:R10)&gt;3,S10&lt;3),"Warning: EGI &gt;3 needs Tier 3+ evidence",IF(AND(C10="Autonomous Operations Zone",S10&lt;4),"Warning: Autonomous zone needs Tier 4 evidence","OK"))</f>
        <v/>
      </c>
      <c r="U10" s="128">
        <f>IF($A10="","",IF($D10="Basic",SUM(E10:K10)/35*100,SUMPRODUCT(E10:K10,XLOOKUP($B10,'Weighted Scoring'!$A$5:$A$13,'Weighted Scoring'!$B$5:$H$13))/SUMPRODUCT(5,XLOOKUP($B10,'Weighted Scoring'!$A$5:$A$13,'Weighted Scoring'!$B$5:$H$13))*100))</f>
        <v/>
      </c>
      <c r="V10" s="128">
        <f>IF($A10="","",IF($D10="Basic",SUM(L10:R10)/35*100,SUMPRODUCT(L10:R10,XLOOKUP($B10,'Weighted Scoring'!$A$5:$A$13,'Weighted Scoring'!$I$5:$O$13))/SUMPRODUCT(5,XLOOKUP($B10,'Weighted Scoring'!$A$5:$A$13,'Weighted Scoring'!$I$5:$O$13))*100))</f>
        <v/>
      </c>
      <c r="W10" s="128">
        <f>IF($A10="","",V10-U10)</f>
        <v/>
      </c>
      <c r="X10" s="125">
        <f>IF($A10="","",IFS(W10&gt;=40,"Stable Orbit",W10&gt;=15,"Controlled Orbit",W10&gt;=-14,"Edge Orbit",W10&gt;=-39,"Unstable Orbit",TRUE,"Critical Orbit"))</f>
        <v/>
      </c>
      <c r="Y10" s="125">
        <f>IF($A10="","",XLOOKUP(X10,'Deployment Gates'!$A$5:$A$9,'Deployment Gates'!$C$5:$C$9))</f>
        <v/>
      </c>
      <c r="Z10" s="125" t="n"/>
      <c r="AA10" s="125">
        <f>IF($A10="","",IF(OR(X10="Edge Orbit",X10="Unstable Orbit",X10="Critical Orbit",H10&gt;=4,G10&gt;=4,E10&gt;=4,J10&gt;=4),"Yes","No"))</f>
        <v/>
      </c>
      <c r="AB10" s="125">
        <f>IF($A10="","",IF(W10&lt;0,"Yes","No"))</f>
        <v/>
      </c>
      <c r="AC10" s="125">
        <f>IF($A10="","",INDEX($L$4:$R$4,1,MATCH(MIN(L10:R10),L10:R10,0)))</f>
        <v/>
      </c>
      <c r="AD10" s="125">
        <f>IF($A10="","",INDEX($E$4:$K$4,1,MATCH(MAX(E10:K10),E10:K10,0)))</f>
        <v/>
      </c>
      <c r="AE10" s="125">
        <f>IF($A10="","",XLOOKUP(AC10,'Control Uplift Planner'!$A$5:$A$11,'Control Uplift Planner'!$B$5:$B$11))</f>
        <v/>
      </c>
      <c r="AF10" s="131" t="n"/>
    </row>
    <row r="11" ht="15" customHeight="1" s="99">
      <c r="A11" s="125" t="n"/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>
        <f>IF(AND(MAX(L11:R11)&gt;3,S11&lt;3),"Warning: EGI &gt;3 needs Tier 3+ evidence",IF(AND(C11="Autonomous Operations Zone",S11&lt;4),"Warning: Autonomous zone needs Tier 4 evidence","OK"))</f>
        <v/>
      </c>
      <c r="U11" s="128">
        <f>IF($A11="","",IF($D11="Basic",SUM(E11:K11)/35*100,SUMPRODUCT(E11:K11,XLOOKUP($B11,'Weighted Scoring'!$A$5:$A$13,'Weighted Scoring'!$B$5:$H$13))/SUMPRODUCT(5,XLOOKUP($B11,'Weighted Scoring'!$A$5:$A$13,'Weighted Scoring'!$B$5:$H$13))*100))</f>
        <v/>
      </c>
      <c r="V11" s="128">
        <f>IF($A11="","",IF($D11="Basic",SUM(L11:R11)/35*100,SUMPRODUCT(L11:R11,XLOOKUP($B11,'Weighted Scoring'!$A$5:$A$13,'Weighted Scoring'!$I$5:$O$13))/SUMPRODUCT(5,XLOOKUP($B11,'Weighted Scoring'!$A$5:$A$13,'Weighted Scoring'!$I$5:$O$13))*100))</f>
        <v/>
      </c>
      <c r="W11" s="128">
        <f>IF($A11="","",V11-U11)</f>
        <v/>
      </c>
      <c r="X11" s="125">
        <f>IF($A11="","",IFS(W11&gt;=40,"Stable Orbit",W11&gt;=15,"Controlled Orbit",W11&gt;=-14,"Edge Orbit",W11&gt;=-39,"Unstable Orbit",TRUE,"Critical Orbit"))</f>
        <v/>
      </c>
      <c r="Y11" s="125">
        <f>IF($A11="","",XLOOKUP(X11,'Deployment Gates'!$A$5:$A$9,'Deployment Gates'!$C$5:$C$9))</f>
        <v/>
      </c>
      <c r="Z11" s="125" t="n"/>
      <c r="AA11" s="125">
        <f>IF($A11="","",IF(OR(X11="Edge Orbit",X11="Unstable Orbit",X11="Critical Orbit",H11&gt;=4,G11&gt;=4,E11&gt;=4,J11&gt;=4),"Yes","No"))</f>
        <v/>
      </c>
      <c r="AB11" s="125">
        <f>IF($A11="","",IF(W11&lt;0,"Yes","No"))</f>
        <v/>
      </c>
      <c r="AC11" s="125">
        <f>IF($A11="","",INDEX($L$4:$R$4,1,MATCH(MIN(L11:R11),L11:R11,0)))</f>
        <v/>
      </c>
      <c r="AD11" s="125">
        <f>IF($A11="","",INDEX($E$4:$K$4,1,MATCH(MAX(E11:K11),E11:K11,0)))</f>
        <v/>
      </c>
      <c r="AE11" s="125">
        <f>IF($A11="","",XLOOKUP(AC11,'Control Uplift Planner'!$A$5:$A$11,'Control Uplift Planner'!$B$5:$B$11))</f>
        <v/>
      </c>
      <c r="AF11" s="131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>
        <f>IF(AND(MAX(L12:R12)&gt;3,S12&lt;3),"Warning: EGI &gt;3 needs Tier 3+ evidence",IF(AND(C12="Autonomous Operations Zone",S12&lt;4),"Warning: Autonomous zone needs Tier 4 evidence","OK"))</f>
        <v/>
      </c>
      <c r="U12" s="128">
        <f>IF($A12="","",IF($D12="Basic",SUM(E12:K12)/35*100,SUMPRODUCT(E12:K12,XLOOKUP($B12,'Weighted Scoring'!$A$5:$A$13,'Weighted Scoring'!$B$5:$H$13))/SUMPRODUCT(5,XLOOKUP($B12,'Weighted Scoring'!$A$5:$A$13,'Weighted Scoring'!$B$5:$H$13))*100))</f>
        <v/>
      </c>
      <c r="V12" s="128">
        <f>IF($A12="","",IF($D12="Basic",SUM(L12:R12)/35*100,SUMPRODUCT(L12:R12,XLOOKUP($B12,'Weighted Scoring'!$A$5:$A$13,'Weighted Scoring'!$I$5:$O$13))/SUMPRODUCT(5,XLOOKUP($B12,'Weighted Scoring'!$A$5:$A$13,'Weighted Scoring'!$I$5:$O$13))*100))</f>
        <v/>
      </c>
      <c r="W12" s="128">
        <f>IF($A12="","",V12-U12)</f>
        <v/>
      </c>
      <c r="X12" s="125">
        <f>IF($A12="","",IFS(W12&gt;=40,"Stable Orbit",W12&gt;=15,"Controlled Orbit",W12&gt;=-14,"Edge Orbit",W12&gt;=-39,"Unstable Orbit",TRUE,"Critical Orbit"))</f>
        <v/>
      </c>
      <c r="Y12" s="125">
        <f>IF($A12="","",XLOOKUP(X12,'Deployment Gates'!$A$5:$A$9,'Deployment Gates'!$C$5:$C$9))</f>
        <v/>
      </c>
      <c r="Z12" s="125" t="n"/>
      <c r="AA12" s="125">
        <f>IF($A12="","",IF(OR(X12="Edge Orbit",X12="Unstable Orbit",X12="Critical Orbit",H12&gt;=4,G12&gt;=4,E12&gt;=4,J12&gt;=4),"Yes","No"))</f>
        <v/>
      </c>
      <c r="AB12" s="125">
        <f>IF($A12="","",IF(W12&lt;0,"Yes","No"))</f>
        <v/>
      </c>
      <c r="AC12" s="125">
        <f>IF($A12="","",INDEX($L$4:$R$4,1,MATCH(MIN(L12:R12),L12:R12,0)))</f>
        <v/>
      </c>
      <c r="AD12" s="125">
        <f>IF($A12="","",INDEX($E$4:$K$4,1,MATCH(MAX(E12:K12),E12:K12,0)))</f>
        <v/>
      </c>
      <c r="AE12" s="125">
        <f>IF($A12="","",XLOOKUP(AC12,'Control Uplift Planner'!$A$5:$A$11,'Control Uplift Planner'!$B$5:$B$11))</f>
        <v/>
      </c>
      <c r="AF12" s="131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>
        <f>IF(AND(MAX(L13:R13)&gt;3,S13&lt;3),"Warning: EGI &gt;3 needs Tier 3+ evidence",IF(AND(C13="Autonomous Operations Zone",S13&lt;4),"Warning: Autonomous zone needs Tier 4 evidence","OK"))</f>
        <v/>
      </c>
      <c r="U13" s="128">
        <f>IF($A13="","",IF($D13="Basic",SUM(E13:K13)/35*100,SUMPRODUCT(E13:K13,XLOOKUP($B13,'Weighted Scoring'!$A$5:$A$13,'Weighted Scoring'!$B$5:$H$13))/SUMPRODUCT(5,XLOOKUP($B13,'Weighted Scoring'!$A$5:$A$13,'Weighted Scoring'!$B$5:$H$13))*100))</f>
        <v/>
      </c>
      <c r="V13" s="128">
        <f>IF($A13="","",IF($D13="Basic",SUM(L13:R13)/35*100,SUMPRODUCT(L13:R13,XLOOKUP($B13,'Weighted Scoring'!$A$5:$A$13,'Weighted Scoring'!$I$5:$O$13))/SUMPRODUCT(5,XLOOKUP($B13,'Weighted Scoring'!$A$5:$A$13,'Weighted Scoring'!$I$5:$O$13))*100))</f>
        <v/>
      </c>
      <c r="W13" s="128">
        <f>IF($A13="","",V13-U13)</f>
        <v/>
      </c>
      <c r="X13" s="125">
        <f>IF($A13="","",IFS(W13&gt;=40,"Stable Orbit",W13&gt;=15,"Controlled Orbit",W13&gt;=-14,"Edge Orbit",W13&gt;=-39,"Unstable Orbit",TRUE,"Critical Orbit"))</f>
        <v/>
      </c>
      <c r="Y13" s="125">
        <f>IF($A13="","",XLOOKUP(X13,'Deployment Gates'!$A$5:$A$9,'Deployment Gates'!$C$5:$C$9))</f>
        <v/>
      </c>
      <c r="Z13" s="125" t="n"/>
      <c r="AA13" s="125">
        <f>IF($A13="","",IF(OR(X13="Edge Orbit",X13="Unstable Orbit",X13="Critical Orbit",H13&gt;=4,G13&gt;=4,E13&gt;=4,J13&gt;=4),"Yes","No"))</f>
        <v/>
      </c>
      <c r="AB13" s="125">
        <f>IF($A13="","",IF(W13&lt;0,"Yes","No"))</f>
        <v/>
      </c>
      <c r="AC13" s="125">
        <f>IF($A13="","",INDEX($L$4:$R$4,1,MATCH(MIN(L13:R13),L13:R13,0)))</f>
        <v/>
      </c>
      <c r="AD13" s="125">
        <f>IF($A13="","",INDEX($E$4:$K$4,1,MATCH(MAX(E13:K13),E13:K13,0)))</f>
        <v/>
      </c>
      <c r="AE13" s="125">
        <f>IF($A13="","",XLOOKUP(AC13,'Control Uplift Planner'!$A$5:$A$11,'Control Uplift Planner'!$B$5:$B$11))</f>
        <v/>
      </c>
      <c r="AF13" s="131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>
        <f>IF(AND(MAX(L14:R14)&gt;3,S14&lt;3),"Warning: EGI &gt;3 needs Tier 3+ evidence",IF(AND(C14="Autonomous Operations Zone",S14&lt;4),"Warning: Autonomous zone needs Tier 4 evidence","OK"))</f>
        <v/>
      </c>
      <c r="U14" s="128">
        <f>IF($A14="","",IF($D14="Basic",SUM(E14:K14)/35*100,SUMPRODUCT(E14:K14,XLOOKUP($B14,'Weighted Scoring'!$A$5:$A$13,'Weighted Scoring'!$B$5:$H$13))/SUMPRODUCT(5,XLOOKUP($B14,'Weighted Scoring'!$A$5:$A$13,'Weighted Scoring'!$B$5:$H$13))*100))</f>
        <v/>
      </c>
      <c r="V14" s="128">
        <f>IF($A14="","",IF($D14="Basic",SUM(L14:R14)/35*100,SUMPRODUCT(L14:R14,XLOOKUP($B14,'Weighted Scoring'!$A$5:$A$13,'Weighted Scoring'!$I$5:$O$13))/SUMPRODUCT(5,XLOOKUP($B14,'Weighted Scoring'!$A$5:$A$13,'Weighted Scoring'!$I$5:$O$13))*100))</f>
        <v/>
      </c>
      <c r="W14" s="128">
        <f>IF($A14="","",V14-U14)</f>
        <v/>
      </c>
      <c r="X14" s="125">
        <f>IF($A14="","",IFS(W14&gt;=40,"Stable Orbit",W14&gt;=15,"Controlled Orbit",W14&gt;=-14,"Edge Orbit",W14&gt;=-39,"Unstable Orbit",TRUE,"Critical Orbit"))</f>
        <v/>
      </c>
      <c r="Y14" s="125">
        <f>IF($A14="","",XLOOKUP(X14,'Deployment Gates'!$A$5:$A$9,'Deployment Gates'!$C$5:$C$9))</f>
        <v/>
      </c>
      <c r="Z14" s="125" t="n"/>
      <c r="AA14" s="125">
        <f>IF($A14="","",IF(OR(X14="Edge Orbit",X14="Unstable Orbit",X14="Critical Orbit",H14&gt;=4,G14&gt;=4,E14&gt;=4,J14&gt;=4),"Yes","No"))</f>
        <v/>
      </c>
      <c r="AB14" s="125">
        <f>IF($A14="","",IF(W14&lt;0,"Yes","No"))</f>
        <v/>
      </c>
      <c r="AC14" s="125">
        <f>IF($A14="","",INDEX($L$4:$R$4,1,MATCH(MIN(L14:R14),L14:R14,0)))</f>
        <v/>
      </c>
      <c r="AD14" s="125">
        <f>IF($A14="","",INDEX($E$4:$K$4,1,MATCH(MAX(E14:K14),E14:K14,0)))</f>
        <v/>
      </c>
      <c r="AE14" s="125">
        <f>IF($A14="","",XLOOKUP(AC14,'Control Uplift Planner'!$A$5:$A$11,'Control Uplift Planner'!$B$5:$B$11))</f>
        <v/>
      </c>
      <c r="AF14" s="131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>
        <f>IF(AND(MAX(L15:R15)&gt;3,S15&lt;3),"Warning: EGI &gt;3 needs Tier 3+ evidence",IF(AND(C15="Autonomous Operations Zone",S15&lt;4),"Warning: Autonomous zone needs Tier 4 evidence","OK"))</f>
        <v/>
      </c>
      <c r="U15" s="128">
        <f>IF($A15="","",IF($D15="Basic",SUM(E15:K15)/35*100,SUMPRODUCT(E15:K15,XLOOKUP($B15,'Weighted Scoring'!$A$5:$A$13,'Weighted Scoring'!$B$5:$H$13))/SUMPRODUCT(5,XLOOKUP($B15,'Weighted Scoring'!$A$5:$A$13,'Weighted Scoring'!$B$5:$H$13))*100))</f>
        <v/>
      </c>
      <c r="V15" s="128">
        <f>IF($A15="","",IF($D15="Basic",SUM(L15:R15)/35*100,SUMPRODUCT(L15:R15,XLOOKUP($B15,'Weighted Scoring'!$A$5:$A$13,'Weighted Scoring'!$I$5:$O$13))/SUMPRODUCT(5,XLOOKUP($B15,'Weighted Scoring'!$A$5:$A$13,'Weighted Scoring'!$I$5:$O$13))*100))</f>
        <v/>
      </c>
      <c r="W15" s="128">
        <f>IF($A15="","",V15-U15)</f>
        <v/>
      </c>
      <c r="X15" s="125">
        <f>IF($A15="","",IFS(W15&gt;=40,"Stable Orbit",W15&gt;=15,"Controlled Orbit",W15&gt;=-14,"Edge Orbit",W15&gt;=-39,"Unstable Orbit",TRUE,"Critical Orbit"))</f>
        <v/>
      </c>
      <c r="Y15" s="125">
        <f>IF($A15="","",XLOOKUP(X15,'Deployment Gates'!$A$5:$A$9,'Deployment Gates'!$C$5:$C$9))</f>
        <v/>
      </c>
      <c r="Z15" s="125" t="n"/>
      <c r="AA15" s="125">
        <f>IF($A15="","",IF(OR(X15="Edge Orbit",X15="Unstable Orbit",X15="Critical Orbit",H15&gt;=4,G15&gt;=4,E15&gt;=4,J15&gt;=4),"Yes","No"))</f>
        <v/>
      </c>
      <c r="AB15" s="125">
        <f>IF($A15="","",IF(W15&lt;0,"Yes","No"))</f>
        <v/>
      </c>
      <c r="AC15" s="125">
        <f>IF($A15="","",INDEX($L$4:$R$4,1,MATCH(MIN(L15:R15),L15:R15,0)))</f>
        <v/>
      </c>
      <c r="AD15" s="125">
        <f>IF($A15="","",INDEX($E$4:$K$4,1,MATCH(MAX(E15:K15),E15:K15,0)))</f>
        <v/>
      </c>
      <c r="AE15" s="125">
        <f>IF($A15="","",XLOOKUP(AC15,'Control Uplift Planner'!$A$5:$A$11,'Control Uplift Planner'!$B$5:$B$11))</f>
        <v/>
      </c>
      <c r="AF15" s="131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>
        <f>IF(AND(MAX(L16:R16)&gt;3,S16&lt;3),"Warning: EGI &gt;3 needs Tier 3+ evidence",IF(AND(C16="Autonomous Operations Zone",S16&lt;4),"Warning: Autonomous zone needs Tier 4 evidence","OK"))</f>
        <v/>
      </c>
      <c r="U16" s="128">
        <f>IF($A16="","",IF($D16="Basic",SUM(E16:K16)/35*100,SUMPRODUCT(E16:K16,XLOOKUP($B16,'Weighted Scoring'!$A$5:$A$13,'Weighted Scoring'!$B$5:$H$13))/SUMPRODUCT(5,XLOOKUP($B16,'Weighted Scoring'!$A$5:$A$13,'Weighted Scoring'!$B$5:$H$13))*100))</f>
        <v/>
      </c>
      <c r="V16" s="128">
        <f>IF($A16="","",IF($D16="Basic",SUM(L16:R16)/35*100,SUMPRODUCT(L16:R16,XLOOKUP($B16,'Weighted Scoring'!$A$5:$A$13,'Weighted Scoring'!$I$5:$O$13))/SUMPRODUCT(5,XLOOKUP($B16,'Weighted Scoring'!$A$5:$A$13,'Weighted Scoring'!$I$5:$O$13))*100))</f>
        <v/>
      </c>
      <c r="W16" s="128">
        <f>IF($A16="","",V16-U16)</f>
        <v/>
      </c>
      <c r="X16" s="125">
        <f>IF($A16="","",IFS(W16&gt;=40,"Stable Orbit",W16&gt;=15,"Controlled Orbit",W16&gt;=-14,"Edge Orbit",W16&gt;=-39,"Unstable Orbit",TRUE,"Critical Orbit"))</f>
        <v/>
      </c>
      <c r="Y16" s="125">
        <f>IF($A16="","",XLOOKUP(X16,'Deployment Gates'!$A$5:$A$9,'Deployment Gates'!$C$5:$C$9))</f>
        <v/>
      </c>
      <c r="Z16" s="125" t="n"/>
      <c r="AA16" s="125">
        <f>IF($A16="","",IF(OR(X16="Edge Orbit",X16="Unstable Orbit",X16="Critical Orbit",H16&gt;=4,G16&gt;=4,E16&gt;=4,J16&gt;=4),"Yes","No"))</f>
        <v/>
      </c>
      <c r="AB16" s="125">
        <f>IF($A16="","",IF(W16&lt;0,"Yes","No"))</f>
        <v/>
      </c>
      <c r="AC16" s="125">
        <f>IF($A16="","",INDEX($L$4:$R$4,1,MATCH(MIN(L16:R16),L16:R16,0)))</f>
        <v/>
      </c>
      <c r="AD16" s="125">
        <f>IF($A16="","",INDEX($E$4:$K$4,1,MATCH(MAX(E16:K16),E16:K16,0)))</f>
        <v/>
      </c>
      <c r="AE16" s="125">
        <f>IF($A16="","",XLOOKUP(AC16,'Control Uplift Planner'!$A$5:$A$11,'Control Uplift Planner'!$B$5:$B$11))</f>
        <v/>
      </c>
      <c r="AF16" s="131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>
        <f>IF(AND(MAX(L17:R17)&gt;3,S17&lt;3),"Warning: EGI &gt;3 needs Tier 3+ evidence",IF(AND(C17="Autonomous Operations Zone",S17&lt;4),"Warning: Autonomous zone needs Tier 4 evidence","OK"))</f>
        <v/>
      </c>
      <c r="U17" s="128">
        <f>IF($A17="","",IF($D17="Basic",SUM(E17:K17)/35*100,SUMPRODUCT(E17:K17,XLOOKUP($B17,'Weighted Scoring'!$A$5:$A$13,'Weighted Scoring'!$B$5:$H$13))/SUMPRODUCT(5,XLOOKUP($B17,'Weighted Scoring'!$A$5:$A$13,'Weighted Scoring'!$B$5:$H$13))*100))</f>
        <v/>
      </c>
      <c r="V17" s="128">
        <f>IF($A17="","",IF($D17="Basic",SUM(L17:R17)/35*100,SUMPRODUCT(L17:R17,XLOOKUP($B17,'Weighted Scoring'!$A$5:$A$13,'Weighted Scoring'!$I$5:$O$13))/SUMPRODUCT(5,XLOOKUP($B17,'Weighted Scoring'!$A$5:$A$13,'Weighted Scoring'!$I$5:$O$13))*100))</f>
        <v/>
      </c>
      <c r="W17" s="128">
        <f>IF($A17="","",V17-U17)</f>
        <v/>
      </c>
      <c r="X17" s="125">
        <f>IF($A17="","",IFS(W17&gt;=40,"Stable Orbit",W17&gt;=15,"Controlled Orbit",W17&gt;=-14,"Edge Orbit",W17&gt;=-39,"Unstable Orbit",TRUE,"Critical Orbit"))</f>
        <v/>
      </c>
      <c r="Y17" s="125">
        <f>IF($A17="","",XLOOKUP(X17,'Deployment Gates'!$A$5:$A$9,'Deployment Gates'!$C$5:$C$9))</f>
        <v/>
      </c>
      <c r="Z17" s="125" t="n"/>
      <c r="AA17" s="125">
        <f>IF($A17="","",IF(OR(X17="Edge Orbit",X17="Unstable Orbit",X17="Critical Orbit",H17&gt;=4,G17&gt;=4,E17&gt;=4,J17&gt;=4),"Yes","No"))</f>
        <v/>
      </c>
      <c r="AB17" s="125">
        <f>IF($A17="","",IF(W17&lt;0,"Yes","No"))</f>
        <v/>
      </c>
      <c r="AC17" s="125">
        <f>IF($A17="","",INDEX($L$4:$R$4,1,MATCH(MIN(L17:R17),L17:R17,0)))</f>
        <v/>
      </c>
      <c r="AD17" s="125">
        <f>IF($A17="","",INDEX($E$4:$K$4,1,MATCH(MAX(E17:K17),E17:K17,0)))</f>
        <v/>
      </c>
      <c r="AE17" s="125">
        <f>IF($A17="","",XLOOKUP(AC17,'Control Uplift Planner'!$A$5:$A$11,'Control Uplift Planner'!$B$5:$B$11))</f>
        <v/>
      </c>
      <c r="AF17" s="131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>
        <f>IF(AND(MAX(L18:R18)&gt;3,S18&lt;3),"Warning: EGI &gt;3 needs Tier 3+ evidence",IF(AND(C18="Autonomous Operations Zone",S18&lt;4),"Warning: Autonomous zone needs Tier 4 evidence","OK"))</f>
        <v/>
      </c>
      <c r="U18" s="128">
        <f>IF($A18="","",IF($D18="Basic",SUM(E18:K18)/35*100,SUMPRODUCT(E18:K18,XLOOKUP($B18,'Weighted Scoring'!$A$5:$A$13,'Weighted Scoring'!$B$5:$H$13))/SUMPRODUCT(5,XLOOKUP($B18,'Weighted Scoring'!$A$5:$A$13,'Weighted Scoring'!$B$5:$H$13))*100))</f>
        <v/>
      </c>
      <c r="V18" s="128">
        <f>IF($A18="","",IF($D18="Basic",SUM(L18:R18)/35*100,SUMPRODUCT(L18:R18,XLOOKUP($B18,'Weighted Scoring'!$A$5:$A$13,'Weighted Scoring'!$I$5:$O$13))/SUMPRODUCT(5,XLOOKUP($B18,'Weighted Scoring'!$A$5:$A$13,'Weighted Scoring'!$I$5:$O$13))*100))</f>
        <v/>
      </c>
      <c r="W18" s="128">
        <f>IF($A18="","",V18-U18)</f>
        <v/>
      </c>
      <c r="X18" s="125">
        <f>IF($A18="","",IFS(W18&gt;=40,"Stable Orbit",W18&gt;=15,"Controlled Orbit",W18&gt;=-14,"Edge Orbit",W18&gt;=-39,"Unstable Orbit",TRUE,"Critical Orbit"))</f>
        <v/>
      </c>
      <c r="Y18" s="125">
        <f>IF($A18="","",XLOOKUP(X18,'Deployment Gates'!$A$5:$A$9,'Deployment Gates'!$C$5:$C$9))</f>
        <v/>
      </c>
      <c r="Z18" s="125" t="n"/>
      <c r="AA18" s="125">
        <f>IF($A18="","",IF(OR(X18="Edge Orbit",X18="Unstable Orbit",X18="Critical Orbit",H18&gt;=4,G18&gt;=4,E18&gt;=4,J18&gt;=4),"Yes","No"))</f>
        <v/>
      </c>
      <c r="AB18" s="125">
        <f>IF($A18="","",IF(W18&lt;0,"Yes","No"))</f>
        <v/>
      </c>
      <c r="AC18" s="125">
        <f>IF($A18="","",INDEX($L$4:$R$4,1,MATCH(MIN(L18:R18),L18:R18,0)))</f>
        <v/>
      </c>
      <c r="AD18" s="125">
        <f>IF($A18="","",INDEX($E$4:$K$4,1,MATCH(MAX(E18:K18),E18:K18,0)))</f>
        <v/>
      </c>
      <c r="AE18" s="125">
        <f>IF($A18="","",XLOOKUP(AC18,'Control Uplift Planner'!$A$5:$A$11,'Control Uplift Planner'!$B$5:$B$11))</f>
        <v/>
      </c>
      <c r="AF18" s="131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>
        <f>IF(AND(MAX(L19:R19)&gt;3,S19&lt;3),"Warning: EGI &gt;3 needs Tier 3+ evidence",IF(AND(C19="Autonomous Operations Zone",S19&lt;4),"Warning: Autonomous zone needs Tier 4 evidence","OK"))</f>
        <v/>
      </c>
      <c r="U19" s="128">
        <f>IF($A19="","",IF($D19="Basic",SUM(E19:K19)/35*100,SUMPRODUCT(E19:K19,XLOOKUP($B19,'Weighted Scoring'!$A$5:$A$13,'Weighted Scoring'!$B$5:$H$13))/SUMPRODUCT(5,XLOOKUP($B19,'Weighted Scoring'!$A$5:$A$13,'Weighted Scoring'!$B$5:$H$13))*100))</f>
        <v/>
      </c>
      <c r="V19" s="128">
        <f>IF($A19="","",IF($D19="Basic",SUM(L19:R19)/35*100,SUMPRODUCT(L19:R19,XLOOKUP($B19,'Weighted Scoring'!$A$5:$A$13,'Weighted Scoring'!$I$5:$O$13))/SUMPRODUCT(5,XLOOKUP($B19,'Weighted Scoring'!$A$5:$A$13,'Weighted Scoring'!$I$5:$O$13))*100))</f>
        <v/>
      </c>
      <c r="W19" s="128">
        <f>IF($A19="","",V19-U19)</f>
        <v/>
      </c>
      <c r="X19" s="125">
        <f>IF($A19="","",IFS(W19&gt;=40,"Stable Orbit",W19&gt;=15,"Controlled Orbit",W19&gt;=-14,"Edge Orbit",W19&gt;=-39,"Unstable Orbit",TRUE,"Critical Orbit"))</f>
        <v/>
      </c>
      <c r="Y19" s="125">
        <f>IF($A19="","",XLOOKUP(X19,'Deployment Gates'!$A$5:$A$9,'Deployment Gates'!$C$5:$C$9))</f>
        <v/>
      </c>
      <c r="Z19" s="125" t="n"/>
      <c r="AA19" s="125">
        <f>IF($A19="","",IF(OR(X19="Edge Orbit",X19="Unstable Orbit",X19="Critical Orbit",H19&gt;=4,G19&gt;=4,E19&gt;=4,J19&gt;=4),"Yes","No"))</f>
        <v/>
      </c>
      <c r="AB19" s="125">
        <f>IF($A19="","",IF(W19&lt;0,"Yes","No"))</f>
        <v/>
      </c>
      <c r="AC19" s="125">
        <f>IF($A19="","",INDEX($L$4:$R$4,1,MATCH(MIN(L19:R19),L19:R19,0)))</f>
        <v/>
      </c>
      <c r="AD19" s="125">
        <f>IF($A19="","",INDEX($E$4:$K$4,1,MATCH(MAX(E19:K19),E19:K19,0)))</f>
        <v/>
      </c>
      <c r="AE19" s="125">
        <f>IF($A19="","",XLOOKUP(AC19,'Control Uplift Planner'!$A$5:$A$11,'Control Uplift Planner'!$B$5:$B$11))</f>
        <v/>
      </c>
      <c r="AF19" s="131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>
        <f>IF(AND(MAX(L20:R20)&gt;3,S20&lt;3),"Warning: EGI &gt;3 needs Tier 3+ evidence",IF(AND(C20="Autonomous Operations Zone",S20&lt;4),"Warning: Autonomous zone needs Tier 4 evidence","OK"))</f>
        <v/>
      </c>
      <c r="U20" s="128">
        <f>IF($A20="","",IF($D20="Basic",SUM(E20:K20)/35*100,SUMPRODUCT(E20:K20,XLOOKUP($B20,'Weighted Scoring'!$A$5:$A$13,'Weighted Scoring'!$B$5:$H$13))/SUMPRODUCT(5,XLOOKUP($B20,'Weighted Scoring'!$A$5:$A$13,'Weighted Scoring'!$B$5:$H$13))*100))</f>
        <v/>
      </c>
      <c r="V20" s="128">
        <f>IF($A20="","",IF($D20="Basic",SUM(L20:R20)/35*100,SUMPRODUCT(L20:R20,XLOOKUP($B20,'Weighted Scoring'!$A$5:$A$13,'Weighted Scoring'!$I$5:$O$13))/SUMPRODUCT(5,XLOOKUP($B20,'Weighted Scoring'!$A$5:$A$13,'Weighted Scoring'!$I$5:$O$13))*100))</f>
        <v/>
      </c>
      <c r="W20" s="128">
        <f>IF($A20="","",V20-U20)</f>
        <v/>
      </c>
      <c r="X20" s="125">
        <f>IF($A20="","",IFS(W20&gt;=40,"Stable Orbit",W20&gt;=15,"Controlled Orbit",W20&gt;=-14,"Edge Orbit",W20&gt;=-39,"Unstable Orbit",TRUE,"Critical Orbit"))</f>
        <v/>
      </c>
      <c r="Y20" s="125">
        <f>IF($A20="","",XLOOKUP(X20,'Deployment Gates'!$A$5:$A$9,'Deployment Gates'!$C$5:$C$9))</f>
        <v/>
      </c>
      <c r="Z20" s="125" t="n"/>
      <c r="AA20" s="125">
        <f>IF($A20="","",IF(OR(X20="Edge Orbit",X20="Unstable Orbit",X20="Critical Orbit",H20&gt;=4,G20&gt;=4,E20&gt;=4,J20&gt;=4),"Yes","No"))</f>
        <v/>
      </c>
      <c r="AB20" s="125">
        <f>IF($A20="","",IF(W20&lt;0,"Yes","No"))</f>
        <v/>
      </c>
      <c r="AC20" s="125">
        <f>IF($A20="","",INDEX($L$4:$R$4,1,MATCH(MIN(L20:R20),L20:R20,0)))</f>
        <v/>
      </c>
      <c r="AD20" s="125">
        <f>IF($A20="","",INDEX($E$4:$K$4,1,MATCH(MAX(E20:K20),E20:K20,0)))</f>
        <v/>
      </c>
      <c r="AE20" s="125">
        <f>IF($A20="","",XLOOKUP(AC20,'Control Uplift Planner'!$A$5:$A$11,'Control Uplift Planner'!$B$5:$B$11))</f>
        <v/>
      </c>
      <c r="AF20" s="131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>
        <f>IF(AND(MAX(L21:R21)&gt;3,S21&lt;3),"Warning: EGI &gt;3 needs Tier 3+ evidence",IF(AND(C21="Autonomous Operations Zone",S21&lt;4),"Warning: Autonomous zone needs Tier 4 evidence","OK"))</f>
        <v/>
      </c>
      <c r="U21" s="128">
        <f>IF($A21="","",IF($D21="Basic",SUM(E21:K21)/35*100,SUMPRODUCT(E21:K21,XLOOKUP($B21,'Weighted Scoring'!$A$5:$A$13,'Weighted Scoring'!$B$5:$H$13))/SUMPRODUCT(5,XLOOKUP($B21,'Weighted Scoring'!$A$5:$A$13,'Weighted Scoring'!$B$5:$H$13))*100))</f>
        <v/>
      </c>
      <c r="V21" s="128">
        <f>IF($A21="","",IF($D21="Basic",SUM(L21:R21)/35*100,SUMPRODUCT(L21:R21,XLOOKUP($B21,'Weighted Scoring'!$A$5:$A$13,'Weighted Scoring'!$I$5:$O$13))/SUMPRODUCT(5,XLOOKUP($B21,'Weighted Scoring'!$A$5:$A$13,'Weighted Scoring'!$I$5:$O$13))*100))</f>
        <v/>
      </c>
      <c r="W21" s="128">
        <f>IF($A21="","",V21-U21)</f>
        <v/>
      </c>
      <c r="X21" s="125">
        <f>IF($A21="","",IFS(W21&gt;=40,"Stable Orbit",W21&gt;=15,"Controlled Orbit",W21&gt;=-14,"Edge Orbit",W21&gt;=-39,"Unstable Orbit",TRUE,"Critical Orbit"))</f>
        <v/>
      </c>
      <c r="Y21" s="125">
        <f>IF($A21="","",XLOOKUP(X21,'Deployment Gates'!$A$5:$A$9,'Deployment Gates'!$C$5:$C$9))</f>
        <v/>
      </c>
      <c r="Z21" s="125" t="n"/>
      <c r="AA21" s="125">
        <f>IF($A21="","",IF(OR(X21="Edge Orbit",X21="Unstable Orbit",X21="Critical Orbit",H21&gt;=4,G21&gt;=4,E21&gt;=4,J21&gt;=4),"Yes","No"))</f>
        <v/>
      </c>
      <c r="AB21" s="125">
        <f>IF($A21="","",IF(W21&lt;0,"Yes","No"))</f>
        <v/>
      </c>
      <c r="AC21" s="125">
        <f>IF($A21="","",INDEX($L$4:$R$4,1,MATCH(MIN(L21:R21),L21:R21,0)))</f>
        <v/>
      </c>
      <c r="AD21" s="125">
        <f>IF($A21="","",INDEX($E$4:$K$4,1,MATCH(MAX(E21:K21),E21:K21,0)))</f>
        <v/>
      </c>
      <c r="AE21" s="125">
        <f>IF($A21="","",XLOOKUP(AC21,'Control Uplift Planner'!$A$5:$A$11,'Control Uplift Planner'!$B$5:$B$11))</f>
        <v/>
      </c>
      <c r="AF21" s="131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>
        <f>IF(AND(MAX(L22:R22)&gt;3,S22&lt;3),"Warning: EGI &gt;3 needs Tier 3+ evidence",IF(AND(C22="Autonomous Operations Zone",S22&lt;4),"Warning: Autonomous zone needs Tier 4 evidence","OK"))</f>
        <v/>
      </c>
      <c r="U22" s="128">
        <f>IF($A22="","",IF($D22="Basic",SUM(E22:K22)/35*100,SUMPRODUCT(E22:K22,XLOOKUP($B22,'Weighted Scoring'!$A$5:$A$13,'Weighted Scoring'!$B$5:$H$13))/SUMPRODUCT(5,XLOOKUP($B22,'Weighted Scoring'!$A$5:$A$13,'Weighted Scoring'!$B$5:$H$13))*100))</f>
        <v/>
      </c>
      <c r="V22" s="128">
        <f>IF($A22="","",IF($D22="Basic",SUM(L22:R22)/35*100,SUMPRODUCT(L22:R22,XLOOKUP($B22,'Weighted Scoring'!$A$5:$A$13,'Weighted Scoring'!$I$5:$O$13))/SUMPRODUCT(5,XLOOKUP($B22,'Weighted Scoring'!$A$5:$A$13,'Weighted Scoring'!$I$5:$O$13))*100))</f>
        <v/>
      </c>
      <c r="W22" s="128">
        <f>IF($A22="","",V22-U22)</f>
        <v/>
      </c>
      <c r="X22" s="125">
        <f>IF($A22="","",IFS(W22&gt;=40,"Stable Orbit",W22&gt;=15,"Controlled Orbit",W22&gt;=-14,"Edge Orbit",W22&gt;=-39,"Unstable Orbit",TRUE,"Critical Orbit"))</f>
        <v/>
      </c>
      <c r="Y22" s="125">
        <f>IF($A22="","",XLOOKUP(X22,'Deployment Gates'!$A$5:$A$9,'Deployment Gates'!$C$5:$C$9))</f>
        <v/>
      </c>
      <c r="Z22" s="125" t="n"/>
      <c r="AA22" s="125">
        <f>IF($A22="","",IF(OR(X22="Edge Orbit",X22="Unstable Orbit",X22="Critical Orbit",H22&gt;=4,G22&gt;=4,E22&gt;=4,J22&gt;=4),"Yes","No"))</f>
        <v/>
      </c>
      <c r="AB22" s="125">
        <f>IF($A22="","",IF(W22&lt;0,"Yes","No"))</f>
        <v/>
      </c>
      <c r="AC22" s="125">
        <f>IF($A22="","",INDEX($L$4:$R$4,1,MATCH(MIN(L22:R22),L22:R22,0)))</f>
        <v/>
      </c>
      <c r="AD22" s="125">
        <f>IF($A22="","",INDEX($E$4:$K$4,1,MATCH(MAX(E22:K22),E22:K22,0)))</f>
        <v/>
      </c>
      <c r="AE22" s="125">
        <f>IF($A22="","",XLOOKUP(AC22,'Control Uplift Planner'!$A$5:$A$11,'Control Uplift Planner'!$B$5:$B$11))</f>
        <v/>
      </c>
      <c r="AF22" s="131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>
        <f>IF(AND(MAX(L23:R23)&gt;3,S23&lt;3),"Warning: EGI &gt;3 needs Tier 3+ evidence",IF(AND(C23="Autonomous Operations Zone",S23&lt;4),"Warning: Autonomous zone needs Tier 4 evidence","OK"))</f>
        <v/>
      </c>
      <c r="U23" s="128">
        <f>IF($A23="","",IF($D23="Basic",SUM(E23:K23)/35*100,SUMPRODUCT(E23:K23,XLOOKUP($B23,'Weighted Scoring'!$A$5:$A$13,'Weighted Scoring'!$B$5:$H$13))/SUMPRODUCT(5,XLOOKUP($B23,'Weighted Scoring'!$A$5:$A$13,'Weighted Scoring'!$B$5:$H$13))*100))</f>
        <v/>
      </c>
      <c r="V23" s="128">
        <f>IF($A23="","",IF($D23="Basic",SUM(L23:R23)/35*100,SUMPRODUCT(L23:R23,XLOOKUP($B23,'Weighted Scoring'!$A$5:$A$13,'Weighted Scoring'!$I$5:$O$13))/SUMPRODUCT(5,XLOOKUP($B23,'Weighted Scoring'!$A$5:$A$13,'Weighted Scoring'!$I$5:$O$13))*100))</f>
        <v/>
      </c>
      <c r="W23" s="128">
        <f>IF($A23="","",V23-U23)</f>
        <v/>
      </c>
      <c r="X23" s="125">
        <f>IF($A23="","",IFS(W23&gt;=40,"Stable Orbit",W23&gt;=15,"Controlled Orbit",W23&gt;=-14,"Edge Orbit",W23&gt;=-39,"Unstable Orbit",TRUE,"Critical Orbit"))</f>
        <v/>
      </c>
      <c r="Y23" s="125">
        <f>IF($A23="","",XLOOKUP(X23,'Deployment Gates'!$A$5:$A$9,'Deployment Gates'!$C$5:$C$9))</f>
        <v/>
      </c>
      <c r="Z23" s="125" t="n"/>
      <c r="AA23" s="125">
        <f>IF($A23="","",IF(OR(X23="Edge Orbit",X23="Unstable Orbit",X23="Critical Orbit",H23&gt;=4,G23&gt;=4,E23&gt;=4,J23&gt;=4),"Yes","No"))</f>
        <v/>
      </c>
      <c r="AB23" s="125">
        <f>IF($A23="","",IF(W23&lt;0,"Yes","No"))</f>
        <v/>
      </c>
      <c r="AC23" s="125">
        <f>IF($A23="","",INDEX($L$4:$R$4,1,MATCH(MIN(L23:R23),L23:R23,0)))</f>
        <v/>
      </c>
      <c r="AD23" s="125">
        <f>IF($A23="","",INDEX($E$4:$K$4,1,MATCH(MAX(E23:K23),E23:K23,0)))</f>
        <v/>
      </c>
      <c r="AE23" s="125">
        <f>IF($A23="","",XLOOKUP(AC23,'Control Uplift Planner'!$A$5:$A$11,'Control Uplift Planner'!$B$5:$B$11))</f>
        <v/>
      </c>
      <c r="AF23" s="131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>
        <f>IF(AND(MAX(L24:R24)&gt;3,S24&lt;3),"Warning: EGI &gt;3 needs Tier 3+ evidence",IF(AND(C24="Autonomous Operations Zone",S24&lt;4),"Warning: Autonomous zone needs Tier 4 evidence","OK"))</f>
        <v/>
      </c>
      <c r="U24" s="128">
        <f>IF($A24="","",IF($D24="Basic",SUM(E24:K24)/35*100,SUMPRODUCT(E24:K24,XLOOKUP($B24,'Weighted Scoring'!$A$5:$A$13,'Weighted Scoring'!$B$5:$H$13))/SUMPRODUCT(5,XLOOKUP($B24,'Weighted Scoring'!$A$5:$A$13,'Weighted Scoring'!$B$5:$H$13))*100))</f>
        <v/>
      </c>
      <c r="V24" s="128">
        <f>IF($A24="","",IF($D24="Basic",SUM(L24:R24)/35*100,SUMPRODUCT(L24:R24,XLOOKUP($B24,'Weighted Scoring'!$A$5:$A$13,'Weighted Scoring'!$I$5:$O$13))/SUMPRODUCT(5,XLOOKUP($B24,'Weighted Scoring'!$A$5:$A$13,'Weighted Scoring'!$I$5:$O$13))*100))</f>
        <v/>
      </c>
      <c r="W24" s="128">
        <f>IF($A24="","",V24-U24)</f>
        <v/>
      </c>
      <c r="X24" s="125">
        <f>IF($A24="","",IFS(W24&gt;=40,"Stable Orbit",W24&gt;=15,"Controlled Orbit",W24&gt;=-14,"Edge Orbit",W24&gt;=-39,"Unstable Orbit",TRUE,"Critical Orbit"))</f>
        <v/>
      </c>
      <c r="Y24" s="125">
        <f>IF($A24="","",XLOOKUP(X24,'Deployment Gates'!$A$5:$A$9,'Deployment Gates'!$C$5:$C$9))</f>
        <v/>
      </c>
      <c r="Z24" s="125" t="n"/>
      <c r="AA24" s="125">
        <f>IF($A24="","",IF(OR(X24="Edge Orbit",X24="Unstable Orbit",X24="Critical Orbit",H24&gt;=4,G24&gt;=4,E24&gt;=4,J24&gt;=4),"Yes","No"))</f>
        <v/>
      </c>
      <c r="AB24" s="125">
        <f>IF($A24="","",IF(W24&lt;0,"Yes","No"))</f>
        <v/>
      </c>
      <c r="AC24" s="125">
        <f>IF($A24="","",INDEX($L$4:$R$4,1,MATCH(MIN(L24:R24),L24:R24,0)))</f>
        <v/>
      </c>
      <c r="AD24" s="125">
        <f>IF($A24="","",INDEX($E$4:$K$4,1,MATCH(MAX(E24:K24),E24:K24,0)))</f>
        <v/>
      </c>
      <c r="AE24" s="125">
        <f>IF($A24="","",XLOOKUP(AC24,'Control Uplift Planner'!$A$5:$A$11,'Control Uplift Planner'!$B$5:$B$11))</f>
        <v/>
      </c>
      <c r="AF24" s="131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>
        <f>IF(AND(MAX(L25:R25)&gt;3,S25&lt;3),"Warning: EGI &gt;3 needs Tier 3+ evidence",IF(AND(C25="Autonomous Operations Zone",S25&lt;4),"Warning: Autonomous zone needs Tier 4 evidence","OK"))</f>
        <v/>
      </c>
      <c r="U25" s="128">
        <f>IF($A25="","",IF($D25="Basic",SUM(E25:K25)/35*100,SUMPRODUCT(E25:K25,XLOOKUP($B25,'Weighted Scoring'!$A$5:$A$13,'Weighted Scoring'!$B$5:$H$13))/SUMPRODUCT(5,XLOOKUP($B25,'Weighted Scoring'!$A$5:$A$13,'Weighted Scoring'!$B$5:$H$13))*100))</f>
        <v/>
      </c>
      <c r="V25" s="128">
        <f>IF($A25="","",IF($D25="Basic",SUM(L25:R25)/35*100,SUMPRODUCT(L25:R25,XLOOKUP($B25,'Weighted Scoring'!$A$5:$A$13,'Weighted Scoring'!$I$5:$O$13))/SUMPRODUCT(5,XLOOKUP($B25,'Weighted Scoring'!$A$5:$A$13,'Weighted Scoring'!$I$5:$O$13))*100))</f>
        <v/>
      </c>
      <c r="W25" s="128">
        <f>IF($A25="","",V25-U25)</f>
        <v/>
      </c>
      <c r="X25" s="125">
        <f>IF($A25="","",IFS(W25&gt;=40,"Stable Orbit",W25&gt;=15,"Controlled Orbit",W25&gt;=-14,"Edge Orbit",W25&gt;=-39,"Unstable Orbit",TRUE,"Critical Orbit"))</f>
        <v/>
      </c>
      <c r="Y25" s="125">
        <f>IF($A25="","",XLOOKUP(X25,'Deployment Gates'!$A$5:$A$9,'Deployment Gates'!$C$5:$C$9))</f>
        <v/>
      </c>
      <c r="Z25" s="125" t="n"/>
      <c r="AA25" s="125">
        <f>IF($A25="","",IF(OR(X25="Edge Orbit",X25="Unstable Orbit",X25="Critical Orbit",H25&gt;=4,G25&gt;=4,E25&gt;=4,J25&gt;=4),"Yes","No"))</f>
        <v/>
      </c>
      <c r="AB25" s="125">
        <f>IF($A25="","",IF(W25&lt;0,"Yes","No"))</f>
        <v/>
      </c>
      <c r="AC25" s="125">
        <f>IF($A25="","",INDEX($L$4:$R$4,1,MATCH(MIN(L25:R25),L25:R25,0)))</f>
        <v/>
      </c>
      <c r="AD25" s="125">
        <f>IF($A25="","",INDEX($E$4:$K$4,1,MATCH(MAX(E25:K25),E25:K25,0)))</f>
        <v/>
      </c>
      <c r="AE25" s="125">
        <f>IF($A25="","",XLOOKUP(AC25,'Control Uplift Planner'!$A$5:$A$11,'Control Uplift Planner'!$B$5:$B$11))</f>
        <v/>
      </c>
      <c r="AF25" s="131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>
        <f>IF(AND(MAX(L26:R26)&gt;3,S26&lt;3),"Warning: EGI &gt;3 needs Tier 3+ evidence",IF(AND(C26="Autonomous Operations Zone",S26&lt;4),"Warning: Autonomous zone needs Tier 4 evidence","OK"))</f>
        <v/>
      </c>
      <c r="U26" s="128">
        <f>IF($A26="","",IF($D26="Basic",SUM(E26:K26)/35*100,SUMPRODUCT(E26:K26,XLOOKUP($B26,'Weighted Scoring'!$A$5:$A$13,'Weighted Scoring'!$B$5:$H$13))/SUMPRODUCT(5,XLOOKUP($B26,'Weighted Scoring'!$A$5:$A$13,'Weighted Scoring'!$B$5:$H$13))*100))</f>
        <v/>
      </c>
      <c r="V26" s="128">
        <f>IF($A26="","",IF($D26="Basic",SUM(L26:R26)/35*100,SUMPRODUCT(L26:R26,XLOOKUP($B26,'Weighted Scoring'!$A$5:$A$13,'Weighted Scoring'!$I$5:$O$13))/SUMPRODUCT(5,XLOOKUP($B26,'Weighted Scoring'!$A$5:$A$13,'Weighted Scoring'!$I$5:$O$13))*100))</f>
        <v/>
      </c>
      <c r="W26" s="128">
        <f>IF($A26="","",V26-U26)</f>
        <v/>
      </c>
      <c r="X26" s="125">
        <f>IF($A26="","",IFS(W26&gt;=40,"Stable Orbit",W26&gt;=15,"Controlled Orbit",W26&gt;=-14,"Edge Orbit",W26&gt;=-39,"Unstable Orbit",TRUE,"Critical Orbit"))</f>
        <v/>
      </c>
      <c r="Y26" s="125">
        <f>IF($A26="","",XLOOKUP(X26,'Deployment Gates'!$A$5:$A$9,'Deployment Gates'!$C$5:$C$9))</f>
        <v/>
      </c>
      <c r="Z26" s="125" t="n"/>
      <c r="AA26" s="125">
        <f>IF($A26="","",IF(OR(X26="Edge Orbit",X26="Unstable Orbit",X26="Critical Orbit",H26&gt;=4,G26&gt;=4,E26&gt;=4,J26&gt;=4),"Yes","No"))</f>
        <v/>
      </c>
      <c r="AB26" s="125">
        <f>IF($A26="","",IF(W26&lt;0,"Yes","No"))</f>
        <v/>
      </c>
      <c r="AC26" s="125">
        <f>IF($A26="","",INDEX($L$4:$R$4,1,MATCH(MIN(L26:R26),L26:R26,0)))</f>
        <v/>
      </c>
      <c r="AD26" s="125">
        <f>IF($A26="","",INDEX($E$4:$K$4,1,MATCH(MAX(E26:K26),E26:K26,0)))</f>
        <v/>
      </c>
      <c r="AE26" s="125">
        <f>IF($A26="","",XLOOKUP(AC26,'Control Uplift Planner'!$A$5:$A$11,'Control Uplift Planner'!$B$5:$B$11))</f>
        <v/>
      </c>
      <c r="AF26" s="131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>
        <f>IF(AND(MAX(L27:R27)&gt;3,S27&lt;3),"Warning: EGI &gt;3 needs Tier 3+ evidence",IF(AND(C27="Autonomous Operations Zone",S27&lt;4),"Warning: Autonomous zone needs Tier 4 evidence","OK"))</f>
        <v/>
      </c>
      <c r="U27" s="128">
        <f>IF($A27="","",IF($D27="Basic",SUM(E27:K27)/35*100,SUMPRODUCT(E27:K27,XLOOKUP($B27,'Weighted Scoring'!$A$5:$A$13,'Weighted Scoring'!$B$5:$H$13))/SUMPRODUCT(5,XLOOKUP($B27,'Weighted Scoring'!$A$5:$A$13,'Weighted Scoring'!$B$5:$H$13))*100))</f>
        <v/>
      </c>
      <c r="V27" s="128">
        <f>IF($A27="","",IF($D27="Basic",SUM(L27:R27)/35*100,SUMPRODUCT(L27:R27,XLOOKUP($B27,'Weighted Scoring'!$A$5:$A$13,'Weighted Scoring'!$I$5:$O$13))/SUMPRODUCT(5,XLOOKUP($B27,'Weighted Scoring'!$A$5:$A$13,'Weighted Scoring'!$I$5:$O$13))*100))</f>
        <v/>
      </c>
      <c r="W27" s="128">
        <f>IF($A27="","",V27-U27)</f>
        <v/>
      </c>
      <c r="X27" s="125">
        <f>IF($A27="","",IFS(W27&gt;=40,"Stable Orbit",W27&gt;=15,"Controlled Orbit",W27&gt;=-14,"Edge Orbit",W27&gt;=-39,"Unstable Orbit",TRUE,"Critical Orbit"))</f>
        <v/>
      </c>
      <c r="Y27" s="125">
        <f>IF($A27="","",XLOOKUP(X27,'Deployment Gates'!$A$5:$A$9,'Deployment Gates'!$C$5:$C$9))</f>
        <v/>
      </c>
      <c r="Z27" s="125" t="n"/>
      <c r="AA27" s="125">
        <f>IF($A27="","",IF(OR(X27="Edge Orbit",X27="Unstable Orbit",X27="Critical Orbit",H27&gt;=4,G27&gt;=4,E27&gt;=4,J27&gt;=4),"Yes","No"))</f>
        <v/>
      </c>
      <c r="AB27" s="125">
        <f>IF($A27="","",IF(W27&lt;0,"Yes","No"))</f>
        <v/>
      </c>
      <c r="AC27" s="125">
        <f>IF($A27="","",INDEX($L$4:$R$4,1,MATCH(MIN(L27:R27),L27:R27,0)))</f>
        <v/>
      </c>
      <c r="AD27" s="125">
        <f>IF($A27="","",INDEX($E$4:$K$4,1,MATCH(MAX(E27:K27),E27:K27,0)))</f>
        <v/>
      </c>
      <c r="AE27" s="125">
        <f>IF($A27="","",XLOOKUP(AC27,'Control Uplift Planner'!$A$5:$A$11,'Control Uplift Planner'!$B$5:$B$11))</f>
        <v/>
      </c>
      <c r="AF27" s="131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>
        <f>IF(AND(MAX(L28:R28)&gt;3,S28&lt;3),"Warning: EGI &gt;3 needs Tier 3+ evidence",IF(AND(C28="Autonomous Operations Zone",S28&lt;4),"Warning: Autonomous zone needs Tier 4 evidence","OK"))</f>
        <v/>
      </c>
      <c r="U28" s="128">
        <f>IF($A28="","",IF($D28="Basic",SUM(E28:K28)/35*100,SUMPRODUCT(E28:K28,XLOOKUP($B28,'Weighted Scoring'!$A$5:$A$13,'Weighted Scoring'!$B$5:$H$13))/SUMPRODUCT(5,XLOOKUP($B28,'Weighted Scoring'!$A$5:$A$13,'Weighted Scoring'!$B$5:$H$13))*100))</f>
        <v/>
      </c>
      <c r="V28" s="128">
        <f>IF($A28="","",IF($D28="Basic",SUM(L28:R28)/35*100,SUMPRODUCT(L28:R28,XLOOKUP($B28,'Weighted Scoring'!$A$5:$A$13,'Weighted Scoring'!$I$5:$O$13))/SUMPRODUCT(5,XLOOKUP($B28,'Weighted Scoring'!$A$5:$A$13,'Weighted Scoring'!$I$5:$O$13))*100))</f>
        <v/>
      </c>
      <c r="W28" s="128">
        <f>IF($A28="","",V28-U28)</f>
        <v/>
      </c>
      <c r="X28" s="125">
        <f>IF($A28="","",IFS(W28&gt;=40,"Stable Orbit",W28&gt;=15,"Controlled Orbit",W28&gt;=-14,"Edge Orbit",W28&gt;=-39,"Unstable Orbit",TRUE,"Critical Orbit"))</f>
        <v/>
      </c>
      <c r="Y28" s="125">
        <f>IF($A28="","",XLOOKUP(X28,'Deployment Gates'!$A$5:$A$9,'Deployment Gates'!$C$5:$C$9))</f>
        <v/>
      </c>
      <c r="Z28" s="125" t="n"/>
      <c r="AA28" s="125">
        <f>IF($A28="","",IF(OR(X28="Edge Orbit",X28="Unstable Orbit",X28="Critical Orbit",H28&gt;=4,G28&gt;=4,E28&gt;=4,J28&gt;=4),"Yes","No"))</f>
        <v/>
      </c>
      <c r="AB28" s="125">
        <f>IF($A28="","",IF(W28&lt;0,"Yes","No"))</f>
        <v/>
      </c>
      <c r="AC28" s="125">
        <f>IF($A28="","",INDEX($L$4:$R$4,1,MATCH(MIN(L28:R28),L28:R28,0)))</f>
        <v/>
      </c>
      <c r="AD28" s="125">
        <f>IF($A28="","",INDEX($E$4:$K$4,1,MATCH(MAX(E28:K28),E28:K28,0)))</f>
        <v/>
      </c>
      <c r="AE28" s="125">
        <f>IF($A28="","",XLOOKUP(AC28,'Control Uplift Planner'!$A$5:$A$11,'Control Uplift Planner'!$B$5:$B$11))</f>
        <v/>
      </c>
      <c r="AF28" s="131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>
        <f>IF(AND(MAX(L29:R29)&gt;3,S29&lt;3),"Warning: EGI &gt;3 needs Tier 3+ evidence",IF(AND(C29="Autonomous Operations Zone",S29&lt;4),"Warning: Autonomous zone needs Tier 4 evidence","OK"))</f>
        <v/>
      </c>
      <c r="U29" s="128">
        <f>IF($A29="","",IF($D29="Basic",SUM(E29:K29)/35*100,SUMPRODUCT(E29:K29,XLOOKUP($B29,'Weighted Scoring'!$A$5:$A$13,'Weighted Scoring'!$B$5:$H$13))/SUMPRODUCT(5,XLOOKUP($B29,'Weighted Scoring'!$A$5:$A$13,'Weighted Scoring'!$B$5:$H$13))*100))</f>
        <v/>
      </c>
      <c r="V29" s="128">
        <f>IF($A29="","",IF($D29="Basic",SUM(L29:R29)/35*100,SUMPRODUCT(L29:R29,XLOOKUP($B29,'Weighted Scoring'!$A$5:$A$13,'Weighted Scoring'!$I$5:$O$13))/SUMPRODUCT(5,XLOOKUP($B29,'Weighted Scoring'!$A$5:$A$13,'Weighted Scoring'!$I$5:$O$13))*100))</f>
        <v/>
      </c>
      <c r="W29" s="128">
        <f>IF($A29="","",V29-U29)</f>
        <v/>
      </c>
      <c r="X29" s="125">
        <f>IF($A29="","",IFS(W29&gt;=40,"Stable Orbit",W29&gt;=15,"Controlled Orbit",W29&gt;=-14,"Edge Orbit",W29&gt;=-39,"Unstable Orbit",TRUE,"Critical Orbit"))</f>
        <v/>
      </c>
      <c r="Y29" s="125">
        <f>IF($A29="","",XLOOKUP(X29,'Deployment Gates'!$A$5:$A$9,'Deployment Gates'!$C$5:$C$9))</f>
        <v/>
      </c>
      <c r="Z29" s="125" t="n"/>
      <c r="AA29" s="125">
        <f>IF($A29="","",IF(OR(X29="Edge Orbit",X29="Unstable Orbit",X29="Critical Orbit",H29&gt;=4,G29&gt;=4,E29&gt;=4,J29&gt;=4),"Yes","No"))</f>
        <v/>
      </c>
      <c r="AB29" s="125">
        <f>IF($A29="","",IF(W29&lt;0,"Yes","No"))</f>
        <v/>
      </c>
      <c r="AC29" s="125">
        <f>IF($A29="","",INDEX($L$4:$R$4,1,MATCH(MIN(L29:R29),L29:R29,0)))</f>
        <v/>
      </c>
      <c r="AD29" s="125">
        <f>IF($A29="","",INDEX($E$4:$K$4,1,MATCH(MAX(E29:K29),E29:K29,0)))</f>
        <v/>
      </c>
      <c r="AE29" s="125">
        <f>IF($A29="","",XLOOKUP(AC29,'Control Uplift Planner'!$A$5:$A$11,'Control Uplift Planner'!$B$5:$B$11))</f>
        <v/>
      </c>
      <c r="AF29" s="131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>
        <f>IF(AND(MAX(L30:R30)&gt;3,S30&lt;3),"Warning: EGI &gt;3 needs Tier 3+ evidence",IF(AND(C30="Autonomous Operations Zone",S30&lt;4),"Warning: Autonomous zone needs Tier 4 evidence","OK"))</f>
        <v/>
      </c>
      <c r="U30" s="128">
        <f>IF($A30="","",IF($D30="Basic",SUM(E30:K30)/35*100,SUMPRODUCT(E30:K30,XLOOKUP($B30,'Weighted Scoring'!$A$5:$A$13,'Weighted Scoring'!$B$5:$H$13))/SUMPRODUCT(5,XLOOKUP($B30,'Weighted Scoring'!$A$5:$A$13,'Weighted Scoring'!$B$5:$H$13))*100))</f>
        <v/>
      </c>
      <c r="V30" s="128">
        <f>IF($A30="","",IF($D30="Basic",SUM(L30:R30)/35*100,SUMPRODUCT(L30:R30,XLOOKUP($B30,'Weighted Scoring'!$A$5:$A$13,'Weighted Scoring'!$I$5:$O$13))/SUMPRODUCT(5,XLOOKUP($B30,'Weighted Scoring'!$A$5:$A$13,'Weighted Scoring'!$I$5:$O$13))*100))</f>
        <v/>
      </c>
      <c r="W30" s="128">
        <f>IF($A30="","",V30-U30)</f>
        <v/>
      </c>
      <c r="X30" s="125">
        <f>IF($A30="","",IFS(W30&gt;=40,"Stable Orbit",W30&gt;=15,"Controlled Orbit",W30&gt;=-14,"Edge Orbit",W30&gt;=-39,"Unstable Orbit",TRUE,"Critical Orbit"))</f>
        <v/>
      </c>
      <c r="Y30" s="125">
        <f>IF($A30="","",XLOOKUP(X30,'Deployment Gates'!$A$5:$A$9,'Deployment Gates'!$C$5:$C$9))</f>
        <v/>
      </c>
      <c r="Z30" s="125" t="n"/>
      <c r="AA30" s="125">
        <f>IF($A30="","",IF(OR(X30="Edge Orbit",X30="Unstable Orbit",X30="Critical Orbit",H30&gt;=4,G30&gt;=4,E30&gt;=4,J30&gt;=4),"Yes","No"))</f>
        <v/>
      </c>
      <c r="AB30" s="125">
        <f>IF($A30="","",IF(W30&lt;0,"Yes","No"))</f>
        <v/>
      </c>
      <c r="AC30" s="125">
        <f>IF($A30="","",INDEX($L$4:$R$4,1,MATCH(MIN(L30:R30),L30:R30,0)))</f>
        <v/>
      </c>
      <c r="AD30" s="125">
        <f>IF($A30="","",INDEX($E$4:$K$4,1,MATCH(MAX(E30:K30),E30:K30,0)))</f>
        <v/>
      </c>
      <c r="AE30" s="125">
        <f>IF($A30="","",XLOOKUP(AC30,'Control Uplift Planner'!$A$5:$A$11,'Control Uplift Planner'!$B$5:$B$11))</f>
        <v/>
      </c>
      <c r="AF30" s="131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>
        <f>IF(AND(MAX(L31:R31)&gt;3,S31&lt;3),"Warning: EGI &gt;3 needs Tier 3+ evidence",IF(AND(C31="Autonomous Operations Zone",S31&lt;4),"Warning: Autonomous zone needs Tier 4 evidence","OK"))</f>
        <v/>
      </c>
      <c r="U31" s="128">
        <f>IF($A31="","",IF($D31="Basic",SUM(E31:K31)/35*100,SUMPRODUCT(E31:K31,XLOOKUP($B31,'Weighted Scoring'!$A$5:$A$13,'Weighted Scoring'!$B$5:$H$13))/SUMPRODUCT(5,XLOOKUP($B31,'Weighted Scoring'!$A$5:$A$13,'Weighted Scoring'!$B$5:$H$13))*100))</f>
        <v/>
      </c>
      <c r="V31" s="128">
        <f>IF($A31="","",IF($D31="Basic",SUM(L31:R31)/35*100,SUMPRODUCT(L31:R31,XLOOKUP($B31,'Weighted Scoring'!$A$5:$A$13,'Weighted Scoring'!$I$5:$O$13))/SUMPRODUCT(5,XLOOKUP($B31,'Weighted Scoring'!$A$5:$A$13,'Weighted Scoring'!$I$5:$O$13))*100))</f>
        <v/>
      </c>
      <c r="W31" s="128">
        <f>IF($A31="","",V31-U31)</f>
        <v/>
      </c>
      <c r="X31" s="125">
        <f>IF($A31="","",IFS(W31&gt;=40,"Stable Orbit",W31&gt;=15,"Controlled Orbit",W31&gt;=-14,"Edge Orbit",W31&gt;=-39,"Unstable Orbit",TRUE,"Critical Orbit"))</f>
        <v/>
      </c>
      <c r="Y31" s="125">
        <f>IF($A31="","",XLOOKUP(X31,'Deployment Gates'!$A$5:$A$9,'Deployment Gates'!$C$5:$C$9))</f>
        <v/>
      </c>
      <c r="Z31" s="125" t="n"/>
      <c r="AA31" s="125">
        <f>IF($A31="","",IF(OR(X31="Edge Orbit",X31="Unstable Orbit",X31="Critical Orbit",H31&gt;=4,G31&gt;=4,E31&gt;=4,J31&gt;=4),"Yes","No"))</f>
        <v/>
      </c>
      <c r="AB31" s="125">
        <f>IF($A31="","",IF(W31&lt;0,"Yes","No"))</f>
        <v/>
      </c>
      <c r="AC31" s="125">
        <f>IF($A31="","",INDEX($L$4:$R$4,1,MATCH(MIN(L31:R31),L31:R31,0)))</f>
        <v/>
      </c>
      <c r="AD31" s="125">
        <f>IF($A31="","",INDEX($E$4:$K$4,1,MATCH(MAX(E31:K31),E31:K31,0)))</f>
        <v/>
      </c>
      <c r="AE31" s="125">
        <f>IF($A31="","",XLOOKUP(AC31,'Control Uplift Planner'!$A$5:$A$11,'Control Uplift Planner'!$B$5:$B$11))</f>
        <v/>
      </c>
      <c r="AF31" s="131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>
        <f>IF(AND(MAX(L32:R32)&gt;3,S32&lt;3),"Warning: EGI &gt;3 needs Tier 3+ evidence",IF(AND(C32="Autonomous Operations Zone",S32&lt;4),"Warning: Autonomous zone needs Tier 4 evidence","OK"))</f>
        <v/>
      </c>
      <c r="U32" s="128">
        <f>IF($A32="","",IF($D32="Basic",SUM(E32:K32)/35*100,SUMPRODUCT(E32:K32,XLOOKUP($B32,'Weighted Scoring'!$A$5:$A$13,'Weighted Scoring'!$B$5:$H$13))/SUMPRODUCT(5,XLOOKUP($B32,'Weighted Scoring'!$A$5:$A$13,'Weighted Scoring'!$B$5:$H$13))*100))</f>
        <v/>
      </c>
      <c r="V32" s="128">
        <f>IF($A32="","",IF($D32="Basic",SUM(L32:R32)/35*100,SUMPRODUCT(L32:R32,XLOOKUP($B32,'Weighted Scoring'!$A$5:$A$13,'Weighted Scoring'!$I$5:$O$13))/SUMPRODUCT(5,XLOOKUP($B32,'Weighted Scoring'!$A$5:$A$13,'Weighted Scoring'!$I$5:$O$13))*100))</f>
        <v/>
      </c>
      <c r="W32" s="128">
        <f>IF($A32="","",V32-U32)</f>
        <v/>
      </c>
      <c r="X32" s="125">
        <f>IF($A32="","",IFS(W32&gt;=40,"Stable Orbit",W32&gt;=15,"Controlled Orbit",W32&gt;=-14,"Edge Orbit",W32&gt;=-39,"Unstable Orbit",TRUE,"Critical Orbit"))</f>
        <v/>
      </c>
      <c r="Y32" s="125">
        <f>IF($A32="","",XLOOKUP(X32,'Deployment Gates'!$A$5:$A$9,'Deployment Gates'!$C$5:$C$9))</f>
        <v/>
      </c>
      <c r="Z32" s="125" t="n"/>
      <c r="AA32" s="125">
        <f>IF($A32="","",IF(OR(X32="Edge Orbit",X32="Unstable Orbit",X32="Critical Orbit",H32&gt;=4,G32&gt;=4,E32&gt;=4,J32&gt;=4),"Yes","No"))</f>
        <v/>
      </c>
      <c r="AB32" s="125">
        <f>IF($A32="","",IF(W32&lt;0,"Yes","No"))</f>
        <v/>
      </c>
      <c r="AC32" s="125">
        <f>IF($A32="","",INDEX($L$4:$R$4,1,MATCH(MIN(L32:R32),L32:R32,0)))</f>
        <v/>
      </c>
      <c r="AD32" s="125">
        <f>IF($A32="","",INDEX($E$4:$K$4,1,MATCH(MAX(E32:K32),E32:K32,0)))</f>
        <v/>
      </c>
      <c r="AE32" s="125">
        <f>IF($A32="","",XLOOKUP(AC32,'Control Uplift Planner'!$A$5:$A$11,'Control Uplift Planner'!$B$5:$B$11))</f>
        <v/>
      </c>
      <c r="AF32" s="131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>
        <f>IF(AND(MAX(L33:R33)&gt;3,S33&lt;3),"Warning: EGI &gt;3 needs Tier 3+ evidence",IF(AND(C33="Autonomous Operations Zone",S33&lt;4),"Warning: Autonomous zone needs Tier 4 evidence","OK"))</f>
        <v/>
      </c>
      <c r="U33" s="128">
        <f>IF($A33="","",IF($D33="Basic",SUM(E33:K33)/35*100,SUMPRODUCT(E33:K33,XLOOKUP($B33,'Weighted Scoring'!$A$5:$A$13,'Weighted Scoring'!$B$5:$H$13))/SUMPRODUCT(5,XLOOKUP($B33,'Weighted Scoring'!$A$5:$A$13,'Weighted Scoring'!$B$5:$H$13))*100))</f>
        <v/>
      </c>
      <c r="V33" s="128">
        <f>IF($A33="","",IF($D33="Basic",SUM(L33:R33)/35*100,SUMPRODUCT(L33:R33,XLOOKUP($B33,'Weighted Scoring'!$A$5:$A$13,'Weighted Scoring'!$I$5:$O$13))/SUMPRODUCT(5,XLOOKUP($B33,'Weighted Scoring'!$A$5:$A$13,'Weighted Scoring'!$I$5:$O$13))*100))</f>
        <v/>
      </c>
      <c r="W33" s="128">
        <f>IF($A33="","",V33-U33)</f>
        <v/>
      </c>
      <c r="X33" s="125">
        <f>IF($A33="","",IFS(W33&gt;=40,"Stable Orbit",W33&gt;=15,"Controlled Orbit",W33&gt;=-14,"Edge Orbit",W33&gt;=-39,"Unstable Orbit",TRUE,"Critical Orbit"))</f>
        <v/>
      </c>
      <c r="Y33" s="125">
        <f>IF($A33="","",XLOOKUP(X33,'Deployment Gates'!$A$5:$A$9,'Deployment Gates'!$C$5:$C$9))</f>
        <v/>
      </c>
      <c r="Z33" s="125" t="n"/>
      <c r="AA33" s="125">
        <f>IF($A33="","",IF(OR(X33="Edge Orbit",X33="Unstable Orbit",X33="Critical Orbit",H33&gt;=4,G33&gt;=4,E33&gt;=4,J33&gt;=4),"Yes","No"))</f>
        <v/>
      </c>
      <c r="AB33" s="125">
        <f>IF($A33="","",IF(W33&lt;0,"Yes","No"))</f>
        <v/>
      </c>
      <c r="AC33" s="125">
        <f>IF($A33="","",INDEX($L$4:$R$4,1,MATCH(MIN(L33:R33),L33:R33,0)))</f>
        <v/>
      </c>
      <c r="AD33" s="125">
        <f>IF($A33="","",INDEX($E$4:$K$4,1,MATCH(MAX(E33:K33),E33:K33,0)))</f>
        <v/>
      </c>
      <c r="AE33" s="125">
        <f>IF($A33="","",XLOOKUP(AC33,'Control Uplift Planner'!$A$5:$A$11,'Control Uplift Planner'!$B$5:$B$11))</f>
        <v/>
      </c>
      <c r="AF33" s="131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>
        <f>IF(AND(MAX(L34:R34)&gt;3,S34&lt;3),"Warning: EGI &gt;3 needs Tier 3+ evidence",IF(AND(C34="Autonomous Operations Zone",S34&lt;4),"Warning: Autonomous zone needs Tier 4 evidence","OK"))</f>
        <v/>
      </c>
      <c r="U34" s="128">
        <f>IF($A34="","",IF($D34="Basic",SUM(E34:K34)/35*100,SUMPRODUCT(E34:K34,XLOOKUP($B34,'Weighted Scoring'!$A$5:$A$13,'Weighted Scoring'!$B$5:$H$13))/SUMPRODUCT(5,XLOOKUP($B34,'Weighted Scoring'!$A$5:$A$13,'Weighted Scoring'!$B$5:$H$13))*100))</f>
        <v/>
      </c>
      <c r="V34" s="128">
        <f>IF($A34="","",IF($D34="Basic",SUM(L34:R34)/35*100,SUMPRODUCT(L34:R34,XLOOKUP($B34,'Weighted Scoring'!$A$5:$A$13,'Weighted Scoring'!$I$5:$O$13))/SUMPRODUCT(5,XLOOKUP($B34,'Weighted Scoring'!$A$5:$A$13,'Weighted Scoring'!$I$5:$O$13))*100))</f>
        <v/>
      </c>
      <c r="W34" s="128">
        <f>IF($A34="","",V34-U34)</f>
        <v/>
      </c>
      <c r="X34" s="125">
        <f>IF($A34="","",IFS(W34&gt;=40,"Stable Orbit",W34&gt;=15,"Controlled Orbit",W34&gt;=-14,"Edge Orbit",W34&gt;=-39,"Unstable Orbit",TRUE,"Critical Orbit"))</f>
        <v/>
      </c>
      <c r="Y34" s="125">
        <f>IF($A34="","",XLOOKUP(X34,'Deployment Gates'!$A$5:$A$9,'Deployment Gates'!$C$5:$C$9))</f>
        <v/>
      </c>
      <c r="Z34" s="125" t="n"/>
      <c r="AA34" s="125">
        <f>IF($A34="","",IF(OR(X34="Edge Orbit",X34="Unstable Orbit",X34="Critical Orbit",H34&gt;=4,G34&gt;=4,E34&gt;=4,J34&gt;=4),"Yes","No"))</f>
        <v/>
      </c>
      <c r="AB34" s="125">
        <f>IF($A34="","",IF(W34&lt;0,"Yes","No"))</f>
        <v/>
      </c>
      <c r="AC34" s="125">
        <f>IF($A34="","",INDEX($L$4:$R$4,1,MATCH(MIN(L34:R34),L34:R34,0)))</f>
        <v/>
      </c>
      <c r="AD34" s="125">
        <f>IF($A34="","",INDEX($E$4:$K$4,1,MATCH(MAX(E34:K34),E34:K34,0)))</f>
        <v/>
      </c>
      <c r="AE34" s="125">
        <f>IF($A34="","",XLOOKUP(AC34,'Control Uplift Planner'!$A$5:$A$11,'Control Uplift Planner'!$B$5:$B$11))</f>
        <v/>
      </c>
      <c r="AF34" s="131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>
        <f>IF(AND(MAX(L35:R35)&gt;3,S35&lt;3),"Warning: EGI &gt;3 needs Tier 3+ evidence",IF(AND(C35="Autonomous Operations Zone",S35&lt;4),"Warning: Autonomous zone needs Tier 4 evidence","OK"))</f>
        <v/>
      </c>
      <c r="U35" s="128">
        <f>IF($A35="","",IF($D35="Basic",SUM(E35:K35)/35*100,SUMPRODUCT(E35:K35,XLOOKUP($B35,'Weighted Scoring'!$A$5:$A$13,'Weighted Scoring'!$B$5:$H$13))/SUMPRODUCT(5,XLOOKUP($B35,'Weighted Scoring'!$A$5:$A$13,'Weighted Scoring'!$B$5:$H$13))*100))</f>
        <v/>
      </c>
      <c r="V35" s="128">
        <f>IF($A35="","",IF($D35="Basic",SUM(L35:R35)/35*100,SUMPRODUCT(L35:R35,XLOOKUP($B35,'Weighted Scoring'!$A$5:$A$13,'Weighted Scoring'!$I$5:$O$13))/SUMPRODUCT(5,XLOOKUP($B35,'Weighted Scoring'!$A$5:$A$13,'Weighted Scoring'!$I$5:$O$13))*100))</f>
        <v/>
      </c>
      <c r="W35" s="128">
        <f>IF($A35="","",V35-U35)</f>
        <v/>
      </c>
      <c r="X35" s="125">
        <f>IF($A35="","",IFS(W35&gt;=40,"Stable Orbit",W35&gt;=15,"Controlled Orbit",W35&gt;=-14,"Edge Orbit",W35&gt;=-39,"Unstable Orbit",TRUE,"Critical Orbit"))</f>
        <v/>
      </c>
      <c r="Y35" s="125">
        <f>IF($A35="","",XLOOKUP(X35,'Deployment Gates'!$A$5:$A$9,'Deployment Gates'!$C$5:$C$9))</f>
        <v/>
      </c>
      <c r="Z35" s="125" t="n"/>
      <c r="AA35" s="125">
        <f>IF($A35="","",IF(OR(X35="Edge Orbit",X35="Unstable Orbit",X35="Critical Orbit",H35&gt;=4,G35&gt;=4,E35&gt;=4,J35&gt;=4),"Yes","No"))</f>
        <v/>
      </c>
      <c r="AB35" s="125">
        <f>IF($A35="","",IF(W35&lt;0,"Yes","No"))</f>
        <v/>
      </c>
      <c r="AC35" s="125">
        <f>IF($A35="","",INDEX($L$4:$R$4,1,MATCH(MIN(L35:R35),L35:R35,0)))</f>
        <v/>
      </c>
      <c r="AD35" s="125">
        <f>IF($A35="","",INDEX($E$4:$K$4,1,MATCH(MAX(E35:K35),E35:K35,0)))</f>
        <v/>
      </c>
      <c r="AE35" s="125">
        <f>IF($A35="","",XLOOKUP(AC35,'Control Uplift Planner'!$A$5:$A$11,'Control Uplift Planner'!$B$5:$B$11))</f>
        <v/>
      </c>
      <c r="AF35" s="131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>
        <f>IF(AND(MAX(L36:R36)&gt;3,S36&lt;3),"Warning: EGI &gt;3 needs Tier 3+ evidence",IF(AND(C36="Autonomous Operations Zone",S36&lt;4),"Warning: Autonomous zone needs Tier 4 evidence","OK"))</f>
        <v/>
      </c>
      <c r="U36" s="128">
        <f>IF($A36="","",IF($D36="Basic",SUM(E36:K36)/35*100,SUMPRODUCT(E36:K36,XLOOKUP($B36,'Weighted Scoring'!$A$5:$A$13,'Weighted Scoring'!$B$5:$H$13))/SUMPRODUCT(5,XLOOKUP($B36,'Weighted Scoring'!$A$5:$A$13,'Weighted Scoring'!$B$5:$H$13))*100))</f>
        <v/>
      </c>
      <c r="V36" s="128">
        <f>IF($A36="","",IF($D36="Basic",SUM(L36:R36)/35*100,SUMPRODUCT(L36:R36,XLOOKUP($B36,'Weighted Scoring'!$A$5:$A$13,'Weighted Scoring'!$I$5:$O$13))/SUMPRODUCT(5,XLOOKUP($B36,'Weighted Scoring'!$A$5:$A$13,'Weighted Scoring'!$I$5:$O$13))*100))</f>
        <v/>
      </c>
      <c r="W36" s="128">
        <f>IF($A36="","",V36-U36)</f>
        <v/>
      </c>
      <c r="X36" s="125">
        <f>IF($A36="","",IFS(W36&gt;=40,"Stable Orbit",W36&gt;=15,"Controlled Orbit",W36&gt;=-14,"Edge Orbit",W36&gt;=-39,"Unstable Orbit",TRUE,"Critical Orbit"))</f>
        <v/>
      </c>
      <c r="Y36" s="125">
        <f>IF($A36="","",XLOOKUP(X36,'Deployment Gates'!$A$5:$A$9,'Deployment Gates'!$C$5:$C$9))</f>
        <v/>
      </c>
      <c r="Z36" s="125" t="n"/>
      <c r="AA36" s="125">
        <f>IF($A36="","",IF(OR(X36="Edge Orbit",X36="Unstable Orbit",X36="Critical Orbit",H36&gt;=4,G36&gt;=4,E36&gt;=4,J36&gt;=4),"Yes","No"))</f>
        <v/>
      </c>
      <c r="AB36" s="125">
        <f>IF($A36="","",IF(W36&lt;0,"Yes","No"))</f>
        <v/>
      </c>
      <c r="AC36" s="125">
        <f>IF($A36="","",INDEX($L$4:$R$4,1,MATCH(MIN(L36:R36),L36:R36,0)))</f>
        <v/>
      </c>
      <c r="AD36" s="125">
        <f>IF($A36="","",INDEX($E$4:$K$4,1,MATCH(MAX(E36:K36),E36:K36,0)))</f>
        <v/>
      </c>
      <c r="AE36" s="125">
        <f>IF($A36="","",XLOOKUP(AC36,'Control Uplift Planner'!$A$5:$A$11,'Control Uplift Planner'!$B$5:$B$11))</f>
        <v/>
      </c>
      <c r="AF36" s="131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>
        <f>IF(AND(MAX(L37:R37)&gt;3,S37&lt;3),"Warning: EGI &gt;3 needs Tier 3+ evidence",IF(AND(C37="Autonomous Operations Zone",S37&lt;4),"Warning: Autonomous zone needs Tier 4 evidence","OK"))</f>
        <v/>
      </c>
      <c r="U37" s="128">
        <f>IF($A37="","",IF($D37="Basic",SUM(E37:K37)/35*100,SUMPRODUCT(E37:K37,XLOOKUP($B37,'Weighted Scoring'!$A$5:$A$13,'Weighted Scoring'!$B$5:$H$13))/SUMPRODUCT(5,XLOOKUP($B37,'Weighted Scoring'!$A$5:$A$13,'Weighted Scoring'!$B$5:$H$13))*100))</f>
        <v/>
      </c>
      <c r="V37" s="128">
        <f>IF($A37="","",IF($D37="Basic",SUM(L37:R37)/35*100,SUMPRODUCT(L37:R37,XLOOKUP($B37,'Weighted Scoring'!$A$5:$A$13,'Weighted Scoring'!$I$5:$O$13))/SUMPRODUCT(5,XLOOKUP($B37,'Weighted Scoring'!$A$5:$A$13,'Weighted Scoring'!$I$5:$O$13))*100))</f>
        <v/>
      </c>
      <c r="W37" s="128">
        <f>IF($A37="","",V37-U37)</f>
        <v/>
      </c>
      <c r="X37" s="125">
        <f>IF($A37="","",IFS(W37&gt;=40,"Stable Orbit",W37&gt;=15,"Controlled Orbit",W37&gt;=-14,"Edge Orbit",W37&gt;=-39,"Unstable Orbit",TRUE,"Critical Orbit"))</f>
        <v/>
      </c>
      <c r="Y37" s="125">
        <f>IF($A37="","",XLOOKUP(X37,'Deployment Gates'!$A$5:$A$9,'Deployment Gates'!$C$5:$C$9))</f>
        <v/>
      </c>
      <c r="Z37" s="125" t="n"/>
      <c r="AA37" s="125">
        <f>IF($A37="","",IF(OR(X37="Edge Orbit",X37="Unstable Orbit",X37="Critical Orbit",H37&gt;=4,G37&gt;=4,E37&gt;=4,J37&gt;=4),"Yes","No"))</f>
        <v/>
      </c>
      <c r="AB37" s="125">
        <f>IF($A37="","",IF(W37&lt;0,"Yes","No"))</f>
        <v/>
      </c>
      <c r="AC37" s="125">
        <f>IF($A37="","",INDEX($L$4:$R$4,1,MATCH(MIN(L37:R37),L37:R37,0)))</f>
        <v/>
      </c>
      <c r="AD37" s="125">
        <f>IF($A37="","",INDEX($E$4:$K$4,1,MATCH(MAX(E37:K37),E37:K37,0)))</f>
        <v/>
      </c>
      <c r="AE37" s="125">
        <f>IF($A37="","",XLOOKUP(AC37,'Control Uplift Planner'!$A$5:$A$11,'Control Uplift Planner'!$B$5:$B$11))</f>
        <v/>
      </c>
      <c r="AF37" s="131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>
        <f>IF(AND(MAX(L38:R38)&gt;3,S38&lt;3),"Warning: EGI &gt;3 needs Tier 3+ evidence",IF(AND(C38="Autonomous Operations Zone",S38&lt;4),"Warning: Autonomous zone needs Tier 4 evidence","OK"))</f>
        <v/>
      </c>
      <c r="U38" s="128">
        <f>IF($A38="","",IF($D38="Basic",SUM(E38:K38)/35*100,SUMPRODUCT(E38:K38,XLOOKUP($B38,'Weighted Scoring'!$A$5:$A$13,'Weighted Scoring'!$B$5:$H$13))/SUMPRODUCT(5,XLOOKUP($B38,'Weighted Scoring'!$A$5:$A$13,'Weighted Scoring'!$B$5:$H$13))*100))</f>
        <v/>
      </c>
      <c r="V38" s="128">
        <f>IF($A38="","",IF($D38="Basic",SUM(L38:R38)/35*100,SUMPRODUCT(L38:R38,XLOOKUP($B38,'Weighted Scoring'!$A$5:$A$13,'Weighted Scoring'!$I$5:$O$13))/SUMPRODUCT(5,XLOOKUP($B38,'Weighted Scoring'!$A$5:$A$13,'Weighted Scoring'!$I$5:$O$13))*100))</f>
        <v/>
      </c>
      <c r="W38" s="128">
        <f>IF($A38="","",V38-U38)</f>
        <v/>
      </c>
      <c r="X38" s="125">
        <f>IF($A38="","",IFS(W38&gt;=40,"Stable Orbit",W38&gt;=15,"Controlled Orbit",W38&gt;=-14,"Edge Orbit",W38&gt;=-39,"Unstable Orbit",TRUE,"Critical Orbit"))</f>
        <v/>
      </c>
      <c r="Y38" s="125">
        <f>IF($A38="","",XLOOKUP(X38,'Deployment Gates'!$A$5:$A$9,'Deployment Gates'!$C$5:$C$9))</f>
        <v/>
      </c>
      <c r="Z38" s="125" t="n"/>
      <c r="AA38" s="125">
        <f>IF($A38="","",IF(OR(X38="Edge Orbit",X38="Unstable Orbit",X38="Critical Orbit",H38&gt;=4,G38&gt;=4,E38&gt;=4,J38&gt;=4),"Yes","No"))</f>
        <v/>
      </c>
      <c r="AB38" s="125">
        <f>IF($A38="","",IF(W38&lt;0,"Yes","No"))</f>
        <v/>
      </c>
      <c r="AC38" s="125">
        <f>IF($A38="","",INDEX($L$4:$R$4,1,MATCH(MIN(L38:R38),L38:R38,0)))</f>
        <v/>
      </c>
      <c r="AD38" s="125">
        <f>IF($A38="","",INDEX($E$4:$K$4,1,MATCH(MAX(E38:K38),E38:K38,0)))</f>
        <v/>
      </c>
      <c r="AE38" s="125">
        <f>IF($A38="","",XLOOKUP(AC38,'Control Uplift Planner'!$A$5:$A$11,'Control Uplift Planner'!$B$5:$B$11))</f>
        <v/>
      </c>
      <c r="AF38" s="131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>
        <f>IF(AND(MAX(L39:R39)&gt;3,S39&lt;3),"Warning: EGI &gt;3 needs Tier 3+ evidence",IF(AND(C39="Autonomous Operations Zone",S39&lt;4),"Warning: Autonomous zone needs Tier 4 evidence","OK"))</f>
        <v/>
      </c>
      <c r="U39" s="128">
        <f>IF($A39="","",IF($D39="Basic",SUM(E39:K39)/35*100,SUMPRODUCT(E39:K39,XLOOKUP($B39,'Weighted Scoring'!$A$5:$A$13,'Weighted Scoring'!$B$5:$H$13))/SUMPRODUCT(5,XLOOKUP($B39,'Weighted Scoring'!$A$5:$A$13,'Weighted Scoring'!$B$5:$H$13))*100))</f>
        <v/>
      </c>
      <c r="V39" s="128">
        <f>IF($A39="","",IF($D39="Basic",SUM(L39:R39)/35*100,SUMPRODUCT(L39:R39,XLOOKUP($B39,'Weighted Scoring'!$A$5:$A$13,'Weighted Scoring'!$I$5:$O$13))/SUMPRODUCT(5,XLOOKUP($B39,'Weighted Scoring'!$A$5:$A$13,'Weighted Scoring'!$I$5:$O$13))*100))</f>
        <v/>
      </c>
      <c r="W39" s="128">
        <f>IF($A39="","",V39-U39)</f>
        <v/>
      </c>
      <c r="X39" s="125">
        <f>IF($A39="","",IFS(W39&gt;=40,"Stable Orbit",W39&gt;=15,"Controlled Orbit",W39&gt;=-14,"Edge Orbit",W39&gt;=-39,"Unstable Orbit",TRUE,"Critical Orbit"))</f>
        <v/>
      </c>
      <c r="Y39" s="125">
        <f>IF($A39="","",XLOOKUP(X39,'Deployment Gates'!$A$5:$A$9,'Deployment Gates'!$C$5:$C$9))</f>
        <v/>
      </c>
      <c r="Z39" s="125" t="n"/>
      <c r="AA39" s="125">
        <f>IF($A39="","",IF(OR(X39="Edge Orbit",X39="Unstable Orbit",X39="Critical Orbit",H39&gt;=4,G39&gt;=4,E39&gt;=4,J39&gt;=4),"Yes","No"))</f>
        <v/>
      </c>
      <c r="AB39" s="125">
        <f>IF($A39="","",IF(W39&lt;0,"Yes","No"))</f>
        <v/>
      </c>
      <c r="AC39" s="125">
        <f>IF($A39="","",INDEX($L$4:$R$4,1,MATCH(MIN(L39:R39),L39:R39,0)))</f>
        <v/>
      </c>
      <c r="AD39" s="125">
        <f>IF($A39="","",INDEX($E$4:$K$4,1,MATCH(MAX(E39:K39),E39:K39,0)))</f>
        <v/>
      </c>
      <c r="AE39" s="125">
        <f>IF($A39="","",XLOOKUP(AC39,'Control Uplift Planner'!$A$5:$A$11,'Control Uplift Planner'!$B$5:$B$11))</f>
        <v/>
      </c>
      <c r="AF39" s="131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>
        <f>IF(AND(MAX(L40:R40)&gt;3,S40&lt;3),"Warning: EGI &gt;3 needs Tier 3+ evidence",IF(AND(C40="Autonomous Operations Zone",S40&lt;4),"Warning: Autonomous zone needs Tier 4 evidence","OK"))</f>
        <v/>
      </c>
      <c r="U40" s="128">
        <f>IF($A40="","",IF($D40="Basic",SUM(E40:K40)/35*100,SUMPRODUCT(E40:K40,XLOOKUP($B40,'Weighted Scoring'!$A$5:$A$13,'Weighted Scoring'!$B$5:$H$13))/SUMPRODUCT(5,XLOOKUP($B40,'Weighted Scoring'!$A$5:$A$13,'Weighted Scoring'!$B$5:$H$13))*100))</f>
        <v/>
      </c>
      <c r="V40" s="128">
        <f>IF($A40="","",IF($D40="Basic",SUM(L40:R40)/35*100,SUMPRODUCT(L40:R40,XLOOKUP($B40,'Weighted Scoring'!$A$5:$A$13,'Weighted Scoring'!$I$5:$O$13))/SUMPRODUCT(5,XLOOKUP($B40,'Weighted Scoring'!$A$5:$A$13,'Weighted Scoring'!$I$5:$O$13))*100))</f>
        <v/>
      </c>
      <c r="W40" s="128">
        <f>IF($A40="","",V40-U40)</f>
        <v/>
      </c>
      <c r="X40" s="125">
        <f>IF($A40="","",IFS(W40&gt;=40,"Stable Orbit",W40&gt;=15,"Controlled Orbit",W40&gt;=-14,"Edge Orbit",W40&gt;=-39,"Unstable Orbit",TRUE,"Critical Orbit"))</f>
        <v/>
      </c>
      <c r="Y40" s="125">
        <f>IF($A40="","",XLOOKUP(X40,'Deployment Gates'!$A$5:$A$9,'Deployment Gates'!$C$5:$C$9))</f>
        <v/>
      </c>
      <c r="Z40" s="125" t="n"/>
      <c r="AA40" s="125">
        <f>IF($A40="","",IF(OR(X40="Edge Orbit",X40="Unstable Orbit",X40="Critical Orbit",H40&gt;=4,G40&gt;=4,E40&gt;=4,J40&gt;=4),"Yes","No"))</f>
        <v/>
      </c>
      <c r="AB40" s="125">
        <f>IF($A40="","",IF(W40&lt;0,"Yes","No"))</f>
        <v/>
      </c>
      <c r="AC40" s="125">
        <f>IF($A40="","",INDEX($L$4:$R$4,1,MATCH(MIN(L40:R40),L40:R40,0)))</f>
        <v/>
      </c>
      <c r="AD40" s="125">
        <f>IF($A40="","",INDEX($E$4:$K$4,1,MATCH(MAX(E40:K40),E40:K40,0)))</f>
        <v/>
      </c>
      <c r="AE40" s="125">
        <f>IF($A40="","",XLOOKUP(AC40,'Control Uplift Planner'!$A$5:$A$11,'Control Uplift Planner'!$B$5:$B$11))</f>
        <v/>
      </c>
      <c r="AF40" s="131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>
        <f>IF(AND(MAX(L41:R41)&gt;3,S41&lt;3),"Warning: EGI &gt;3 needs Tier 3+ evidence",IF(AND(C41="Autonomous Operations Zone",S41&lt;4),"Warning: Autonomous zone needs Tier 4 evidence","OK"))</f>
        <v/>
      </c>
      <c r="U41" s="128">
        <f>IF($A41="","",IF($D41="Basic",SUM(E41:K41)/35*100,SUMPRODUCT(E41:K41,XLOOKUP($B41,'Weighted Scoring'!$A$5:$A$13,'Weighted Scoring'!$B$5:$H$13))/SUMPRODUCT(5,XLOOKUP($B41,'Weighted Scoring'!$A$5:$A$13,'Weighted Scoring'!$B$5:$H$13))*100))</f>
        <v/>
      </c>
      <c r="V41" s="128">
        <f>IF($A41="","",IF($D41="Basic",SUM(L41:R41)/35*100,SUMPRODUCT(L41:R41,XLOOKUP($B41,'Weighted Scoring'!$A$5:$A$13,'Weighted Scoring'!$I$5:$O$13))/SUMPRODUCT(5,XLOOKUP($B41,'Weighted Scoring'!$A$5:$A$13,'Weighted Scoring'!$I$5:$O$13))*100))</f>
        <v/>
      </c>
      <c r="W41" s="128">
        <f>IF($A41="","",V41-U41)</f>
        <v/>
      </c>
      <c r="X41" s="125">
        <f>IF($A41="","",IFS(W41&gt;=40,"Stable Orbit",W41&gt;=15,"Controlled Orbit",W41&gt;=-14,"Edge Orbit",W41&gt;=-39,"Unstable Orbit",TRUE,"Critical Orbit"))</f>
        <v/>
      </c>
      <c r="Y41" s="125">
        <f>IF($A41="","",XLOOKUP(X41,'Deployment Gates'!$A$5:$A$9,'Deployment Gates'!$C$5:$C$9))</f>
        <v/>
      </c>
      <c r="Z41" s="125" t="n"/>
      <c r="AA41" s="125">
        <f>IF($A41="","",IF(OR(X41="Edge Orbit",X41="Unstable Orbit",X41="Critical Orbit",H41&gt;=4,G41&gt;=4,E41&gt;=4,J41&gt;=4),"Yes","No"))</f>
        <v/>
      </c>
      <c r="AB41" s="125">
        <f>IF($A41="","",IF(W41&lt;0,"Yes","No"))</f>
        <v/>
      </c>
      <c r="AC41" s="125">
        <f>IF($A41="","",INDEX($L$4:$R$4,1,MATCH(MIN(L41:R41),L41:R41,0)))</f>
        <v/>
      </c>
      <c r="AD41" s="125">
        <f>IF($A41="","",INDEX($E$4:$K$4,1,MATCH(MAX(E41:K41),E41:K41,0)))</f>
        <v/>
      </c>
      <c r="AE41" s="125">
        <f>IF($A41="","",XLOOKUP(AC41,'Control Uplift Planner'!$A$5:$A$11,'Control Uplift Planner'!$B$5:$B$11))</f>
        <v/>
      </c>
      <c r="AF41" s="131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>
        <f>IF(AND(MAX(L42:R42)&gt;3,S42&lt;3),"Warning: EGI &gt;3 needs Tier 3+ evidence",IF(AND(C42="Autonomous Operations Zone",S42&lt;4),"Warning: Autonomous zone needs Tier 4 evidence","OK"))</f>
        <v/>
      </c>
      <c r="U42" s="128">
        <f>IF($A42="","",IF($D42="Basic",SUM(E42:K42)/35*100,SUMPRODUCT(E42:K42,XLOOKUP($B42,'Weighted Scoring'!$A$5:$A$13,'Weighted Scoring'!$B$5:$H$13))/SUMPRODUCT(5,XLOOKUP($B42,'Weighted Scoring'!$A$5:$A$13,'Weighted Scoring'!$B$5:$H$13))*100))</f>
        <v/>
      </c>
      <c r="V42" s="128">
        <f>IF($A42="","",IF($D42="Basic",SUM(L42:R42)/35*100,SUMPRODUCT(L42:R42,XLOOKUP($B42,'Weighted Scoring'!$A$5:$A$13,'Weighted Scoring'!$I$5:$O$13))/SUMPRODUCT(5,XLOOKUP($B42,'Weighted Scoring'!$A$5:$A$13,'Weighted Scoring'!$I$5:$O$13))*100))</f>
        <v/>
      </c>
      <c r="W42" s="128">
        <f>IF($A42="","",V42-U42)</f>
        <v/>
      </c>
      <c r="X42" s="125">
        <f>IF($A42="","",IFS(W42&gt;=40,"Stable Orbit",W42&gt;=15,"Controlled Orbit",W42&gt;=-14,"Edge Orbit",W42&gt;=-39,"Unstable Orbit",TRUE,"Critical Orbit"))</f>
        <v/>
      </c>
      <c r="Y42" s="125">
        <f>IF($A42="","",XLOOKUP(X42,'Deployment Gates'!$A$5:$A$9,'Deployment Gates'!$C$5:$C$9))</f>
        <v/>
      </c>
      <c r="Z42" s="125" t="n"/>
      <c r="AA42" s="125">
        <f>IF($A42="","",IF(OR(X42="Edge Orbit",X42="Unstable Orbit",X42="Critical Orbit",H42&gt;=4,G42&gt;=4,E42&gt;=4,J42&gt;=4),"Yes","No"))</f>
        <v/>
      </c>
      <c r="AB42" s="125">
        <f>IF($A42="","",IF(W42&lt;0,"Yes","No"))</f>
        <v/>
      </c>
      <c r="AC42" s="125">
        <f>IF($A42="","",INDEX($L$4:$R$4,1,MATCH(MIN(L42:R42),L42:R42,0)))</f>
        <v/>
      </c>
      <c r="AD42" s="125">
        <f>IF($A42="","",INDEX($E$4:$K$4,1,MATCH(MAX(E42:K42),E42:K42,0)))</f>
        <v/>
      </c>
      <c r="AE42" s="125">
        <f>IF($A42="","",XLOOKUP(AC42,'Control Uplift Planner'!$A$5:$A$11,'Control Uplift Planner'!$B$5:$B$11))</f>
        <v/>
      </c>
      <c r="AF42" s="131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>
        <f>IF(AND(MAX(L43:R43)&gt;3,S43&lt;3),"Warning: EGI &gt;3 needs Tier 3+ evidence",IF(AND(C43="Autonomous Operations Zone",S43&lt;4),"Warning: Autonomous zone needs Tier 4 evidence","OK"))</f>
        <v/>
      </c>
      <c r="U43" s="128">
        <f>IF($A43="","",IF($D43="Basic",SUM(E43:K43)/35*100,SUMPRODUCT(E43:K43,XLOOKUP($B43,'Weighted Scoring'!$A$5:$A$13,'Weighted Scoring'!$B$5:$H$13))/SUMPRODUCT(5,XLOOKUP($B43,'Weighted Scoring'!$A$5:$A$13,'Weighted Scoring'!$B$5:$H$13))*100))</f>
        <v/>
      </c>
      <c r="V43" s="128">
        <f>IF($A43="","",IF($D43="Basic",SUM(L43:R43)/35*100,SUMPRODUCT(L43:R43,XLOOKUP($B43,'Weighted Scoring'!$A$5:$A$13,'Weighted Scoring'!$I$5:$O$13))/SUMPRODUCT(5,XLOOKUP($B43,'Weighted Scoring'!$A$5:$A$13,'Weighted Scoring'!$I$5:$O$13))*100))</f>
        <v/>
      </c>
      <c r="W43" s="128">
        <f>IF($A43="","",V43-U43)</f>
        <v/>
      </c>
      <c r="X43" s="125">
        <f>IF($A43="","",IFS(W43&gt;=40,"Stable Orbit",W43&gt;=15,"Controlled Orbit",W43&gt;=-14,"Edge Orbit",W43&gt;=-39,"Unstable Orbit",TRUE,"Critical Orbit"))</f>
        <v/>
      </c>
      <c r="Y43" s="125">
        <f>IF($A43="","",XLOOKUP(X43,'Deployment Gates'!$A$5:$A$9,'Deployment Gates'!$C$5:$C$9))</f>
        <v/>
      </c>
      <c r="Z43" s="125" t="n"/>
      <c r="AA43" s="125">
        <f>IF($A43="","",IF(OR(X43="Edge Orbit",X43="Unstable Orbit",X43="Critical Orbit",H43&gt;=4,G43&gt;=4,E43&gt;=4,J43&gt;=4),"Yes","No"))</f>
        <v/>
      </c>
      <c r="AB43" s="125">
        <f>IF($A43="","",IF(W43&lt;0,"Yes","No"))</f>
        <v/>
      </c>
      <c r="AC43" s="125">
        <f>IF($A43="","",INDEX($L$4:$R$4,1,MATCH(MIN(L43:R43),L43:R43,0)))</f>
        <v/>
      </c>
      <c r="AD43" s="125">
        <f>IF($A43="","",INDEX($E$4:$K$4,1,MATCH(MAX(E43:K43),E43:K43,0)))</f>
        <v/>
      </c>
      <c r="AE43" s="125">
        <f>IF($A43="","",XLOOKUP(AC43,'Control Uplift Planner'!$A$5:$A$11,'Control Uplift Planner'!$B$5:$B$11))</f>
        <v/>
      </c>
      <c r="AF43" s="131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>
        <f>IF(AND(MAX(L44:R44)&gt;3,S44&lt;3),"Warning: EGI &gt;3 needs Tier 3+ evidence",IF(AND(C44="Autonomous Operations Zone",S44&lt;4),"Warning: Autonomous zone needs Tier 4 evidence","OK"))</f>
        <v/>
      </c>
      <c r="U44" s="128">
        <f>IF($A44="","",IF($D44="Basic",SUM(E44:K44)/35*100,SUMPRODUCT(E44:K44,XLOOKUP($B44,'Weighted Scoring'!$A$5:$A$13,'Weighted Scoring'!$B$5:$H$13))/SUMPRODUCT(5,XLOOKUP($B44,'Weighted Scoring'!$A$5:$A$13,'Weighted Scoring'!$B$5:$H$13))*100))</f>
        <v/>
      </c>
      <c r="V44" s="128">
        <f>IF($A44="","",IF($D44="Basic",SUM(L44:R44)/35*100,SUMPRODUCT(L44:R44,XLOOKUP($B44,'Weighted Scoring'!$A$5:$A$13,'Weighted Scoring'!$I$5:$O$13))/SUMPRODUCT(5,XLOOKUP($B44,'Weighted Scoring'!$A$5:$A$13,'Weighted Scoring'!$I$5:$O$13))*100))</f>
        <v/>
      </c>
      <c r="W44" s="128">
        <f>IF($A44="","",V44-U44)</f>
        <v/>
      </c>
      <c r="X44" s="125">
        <f>IF($A44="","",IFS(W44&gt;=40,"Stable Orbit",W44&gt;=15,"Controlled Orbit",W44&gt;=-14,"Edge Orbit",W44&gt;=-39,"Unstable Orbit",TRUE,"Critical Orbit"))</f>
        <v/>
      </c>
      <c r="Y44" s="125">
        <f>IF($A44="","",XLOOKUP(X44,'Deployment Gates'!$A$5:$A$9,'Deployment Gates'!$C$5:$C$9))</f>
        <v/>
      </c>
      <c r="Z44" s="125" t="n"/>
      <c r="AA44" s="125">
        <f>IF($A44="","",IF(OR(X44="Edge Orbit",X44="Unstable Orbit",X44="Critical Orbit",H44&gt;=4,G44&gt;=4,E44&gt;=4,J44&gt;=4),"Yes","No"))</f>
        <v/>
      </c>
      <c r="AB44" s="125">
        <f>IF($A44="","",IF(W44&lt;0,"Yes","No"))</f>
        <v/>
      </c>
      <c r="AC44" s="125">
        <f>IF($A44="","",INDEX($L$4:$R$4,1,MATCH(MIN(L44:R44),L44:R44,0)))</f>
        <v/>
      </c>
      <c r="AD44" s="125">
        <f>IF($A44="","",INDEX($E$4:$K$4,1,MATCH(MAX(E44:K44),E44:K44,0)))</f>
        <v/>
      </c>
      <c r="AE44" s="125">
        <f>IF($A44="","",XLOOKUP(AC44,'Control Uplift Planner'!$A$5:$A$11,'Control Uplift Planner'!$B$5:$B$11))</f>
        <v/>
      </c>
      <c r="AF44" s="131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>
        <f>IF(AND(MAX(L45:R45)&gt;3,S45&lt;3),"Warning: EGI &gt;3 needs Tier 3+ evidence",IF(AND(C45="Autonomous Operations Zone",S45&lt;4),"Warning: Autonomous zone needs Tier 4 evidence","OK"))</f>
        <v/>
      </c>
      <c r="U45" s="128">
        <f>IF($A45="","",IF($D45="Basic",SUM(E45:K45)/35*100,SUMPRODUCT(E45:K45,XLOOKUP($B45,'Weighted Scoring'!$A$5:$A$13,'Weighted Scoring'!$B$5:$H$13))/SUMPRODUCT(5,XLOOKUP($B45,'Weighted Scoring'!$A$5:$A$13,'Weighted Scoring'!$B$5:$H$13))*100))</f>
        <v/>
      </c>
      <c r="V45" s="128">
        <f>IF($A45="","",IF($D45="Basic",SUM(L45:R45)/35*100,SUMPRODUCT(L45:R45,XLOOKUP($B45,'Weighted Scoring'!$A$5:$A$13,'Weighted Scoring'!$I$5:$O$13))/SUMPRODUCT(5,XLOOKUP($B45,'Weighted Scoring'!$A$5:$A$13,'Weighted Scoring'!$I$5:$O$13))*100))</f>
        <v/>
      </c>
      <c r="W45" s="128">
        <f>IF($A45="","",V45-U45)</f>
        <v/>
      </c>
      <c r="X45" s="125">
        <f>IF($A45="","",IFS(W45&gt;=40,"Stable Orbit",W45&gt;=15,"Controlled Orbit",W45&gt;=-14,"Edge Orbit",W45&gt;=-39,"Unstable Orbit",TRUE,"Critical Orbit"))</f>
        <v/>
      </c>
      <c r="Y45" s="125">
        <f>IF($A45="","",XLOOKUP(X45,'Deployment Gates'!$A$5:$A$9,'Deployment Gates'!$C$5:$C$9))</f>
        <v/>
      </c>
      <c r="Z45" s="125" t="n"/>
      <c r="AA45" s="125">
        <f>IF($A45="","",IF(OR(X45="Edge Orbit",X45="Unstable Orbit",X45="Critical Orbit",H45&gt;=4,G45&gt;=4,E45&gt;=4,J45&gt;=4),"Yes","No"))</f>
        <v/>
      </c>
      <c r="AB45" s="125">
        <f>IF($A45="","",IF(W45&lt;0,"Yes","No"))</f>
        <v/>
      </c>
      <c r="AC45" s="125">
        <f>IF($A45="","",INDEX($L$4:$R$4,1,MATCH(MIN(L45:R45),L45:R45,0)))</f>
        <v/>
      </c>
      <c r="AD45" s="125">
        <f>IF($A45="","",INDEX($E$4:$K$4,1,MATCH(MAX(E45:K45),E45:K45,0)))</f>
        <v/>
      </c>
      <c r="AE45" s="125">
        <f>IF($A45="","",XLOOKUP(AC45,'Control Uplift Planner'!$A$5:$A$11,'Control Uplift Planner'!$B$5:$B$11))</f>
        <v/>
      </c>
      <c r="AF45" s="131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>
        <f>IF(AND(MAX(L46:R46)&gt;3,S46&lt;3),"Warning: EGI &gt;3 needs Tier 3+ evidence",IF(AND(C46="Autonomous Operations Zone",S46&lt;4),"Warning: Autonomous zone needs Tier 4 evidence","OK"))</f>
        <v/>
      </c>
      <c r="U46" s="128">
        <f>IF($A46="","",IF($D46="Basic",SUM(E46:K46)/35*100,SUMPRODUCT(E46:K46,XLOOKUP($B46,'Weighted Scoring'!$A$5:$A$13,'Weighted Scoring'!$B$5:$H$13))/SUMPRODUCT(5,XLOOKUP($B46,'Weighted Scoring'!$A$5:$A$13,'Weighted Scoring'!$B$5:$H$13))*100))</f>
        <v/>
      </c>
      <c r="V46" s="128">
        <f>IF($A46="","",IF($D46="Basic",SUM(L46:R46)/35*100,SUMPRODUCT(L46:R46,XLOOKUP($B46,'Weighted Scoring'!$A$5:$A$13,'Weighted Scoring'!$I$5:$O$13))/SUMPRODUCT(5,XLOOKUP($B46,'Weighted Scoring'!$A$5:$A$13,'Weighted Scoring'!$I$5:$O$13))*100))</f>
        <v/>
      </c>
      <c r="W46" s="128">
        <f>IF($A46="","",V46-U46)</f>
        <v/>
      </c>
      <c r="X46" s="125">
        <f>IF($A46="","",IFS(W46&gt;=40,"Stable Orbit",W46&gt;=15,"Controlled Orbit",W46&gt;=-14,"Edge Orbit",W46&gt;=-39,"Unstable Orbit",TRUE,"Critical Orbit"))</f>
        <v/>
      </c>
      <c r="Y46" s="125">
        <f>IF($A46="","",XLOOKUP(X46,'Deployment Gates'!$A$5:$A$9,'Deployment Gates'!$C$5:$C$9))</f>
        <v/>
      </c>
      <c r="Z46" s="125" t="n"/>
      <c r="AA46" s="125">
        <f>IF($A46="","",IF(OR(X46="Edge Orbit",X46="Unstable Orbit",X46="Critical Orbit",H46&gt;=4,G46&gt;=4,E46&gt;=4,J46&gt;=4),"Yes","No"))</f>
        <v/>
      </c>
      <c r="AB46" s="125">
        <f>IF($A46="","",IF(W46&lt;0,"Yes","No"))</f>
        <v/>
      </c>
      <c r="AC46" s="125">
        <f>IF($A46="","",INDEX($L$4:$R$4,1,MATCH(MIN(L46:R46),L46:R46,0)))</f>
        <v/>
      </c>
      <c r="AD46" s="125">
        <f>IF($A46="","",INDEX($E$4:$K$4,1,MATCH(MAX(E46:K46),E46:K46,0)))</f>
        <v/>
      </c>
      <c r="AE46" s="125">
        <f>IF($A46="","",XLOOKUP(AC46,'Control Uplift Planner'!$A$5:$A$11,'Control Uplift Planner'!$B$5:$B$11))</f>
        <v/>
      </c>
      <c r="AF46" s="131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>
        <f>IF(AND(MAX(L47:R47)&gt;3,S47&lt;3),"Warning: EGI &gt;3 needs Tier 3+ evidence",IF(AND(C47="Autonomous Operations Zone",S47&lt;4),"Warning: Autonomous zone needs Tier 4 evidence","OK"))</f>
        <v/>
      </c>
      <c r="U47" s="128">
        <f>IF($A47="","",IF($D47="Basic",SUM(E47:K47)/35*100,SUMPRODUCT(E47:K47,XLOOKUP($B47,'Weighted Scoring'!$A$5:$A$13,'Weighted Scoring'!$B$5:$H$13))/SUMPRODUCT(5,XLOOKUP($B47,'Weighted Scoring'!$A$5:$A$13,'Weighted Scoring'!$B$5:$H$13))*100))</f>
        <v/>
      </c>
      <c r="V47" s="128">
        <f>IF($A47="","",IF($D47="Basic",SUM(L47:R47)/35*100,SUMPRODUCT(L47:R47,XLOOKUP($B47,'Weighted Scoring'!$A$5:$A$13,'Weighted Scoring'!$I$5:$O$13))/SUMPRODUCT(5,XLOOKUP($B47,'Weighted Scoring'!$A$5:$A$13,'Weighted Scoring'!$I$5:$O$13))*100))</f>
        <v/>
      </c>
      <c r="W47" s="128">
        <f>IF($A47="","",V47-U47)</f>
        <v/>
      </c>
      <c r="X47" s="125">
        <f>IF($A47="","",IFS(W47&gt;=40,"Stable Orbit",W47&gt;=15,"Controlled Orbit",W47&gt;=-14,"Edge Orbit",W47&gt;=-39,"Unstable Orbit",TRUE,"Critical Orbit"))</f>
        <v/>
      </c>
      <c r="Y47" s="125">
        <f>IF($A47="","",XLOOKUP(X47,'Deployment Gates'!$A$5:$A$9,'Deployment Gates'!$C$5:$C$9))</f>
        <v/>
      </c>
      <c r="Z47" s="125" t="n"/>
      <c r="AA47" s="125">
        <f>IF($A47="","",IF(OR(X47="Edge Orbit",X47="Unstable Orbit",X47="Critical Orbit",H47&gt;=4,G47&gt;=4,E47&gt;=4,J47&gt;=4),"Yes","No"))</f>
        <v/>
      </c>
      <c r="AB47" s="125">
        <f>IF($A47="","",IF(W47&lt;0,"Yes","No"))</f>
        <v/>
      </c>
      <c r="AC47" s="125">
        <f>IF($A47="","",INDEX($L$4:$R$4,1,MATCH(MIN(L47:R47),L47:R47,0)))</f>
        <v/>
      </c>
      <c r="AD47" s="125">
        <f>IF($A47="","",INDEX($E$4:$K$4,1,MATCH(MAX(E47:K47),E47:K47,0)))</f>
        <v/>
      </c>
      <c r="AE47" s="125">
        <f>IF($A47="","",XLOOKUP(AC47,'Control Uplift Planner'!$A$5:$A$11,'Control Uplift Planner'!$B$5:$B$11))</f>
        <v/>
      </c>
      <c r="AF47" s="131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>
        <f>IF(AND(MAX(L48:R48)&gt;3,S48&lt;3),"Warning: EGI &gt;3 needs Tier 3+ evidence",IF(AND(C48="Autonomous Operations Zone",S48&lt;4),"Warning: Autonomous zone needs Tier 4 evidence","OK"))</f>
        <v/>
      </c>
      <c r="U48" s="128">
        <f>IF($A48="","",IF($D48="Basic",SUM(E48:K48)/35*100,SUMPRODUCT(E48:K48,XLOOKUP($B48,'Weighted Scoring'!$A$5:$A$13,'Weighted Scoring'!$B$5:$H$13))/SUMPRODUCT(5,XLOOKUP($B48,'Weighted Scoring'!$A$5:$A$13,'Weighted Scoring'!$B$5:$H$13))*100))</f>
        <v/>
      </c>
      <c r="V48" s="128">
        <f>IF($A48="","",IF($D48="Basic",SUM(L48:R48)/35*100,SUMPRODUCT(L48:R48,XLOOKUP($B48,'Weighted Scoring'!$A$5:$A$13,'Weighted Scoring'!$I$5:$O$13))/SUMPRODUCT(5,XLOOKUP($B48,'Weighted Scoring'!$A$5:$A$13,'Weighted Scoring'!$I$5:$O$13))*100))</f>
        <v/>
      </c>
      <c r="W48" s="128">
        <f>IF($A48="","",V48-U48)</f>
        <v/>
      </c>
      <c r="X48" s="125">
        <f>IF($A48="","",IFS(W48&gt;=40,"Stable Orbit",W48&gt;=15,"Controlled Orbit",W48&gt;=-14,"Edge Orbit",W48&gt;=-39,"Unstable Orbit",TRUE,"Critical Orbit"))</f>
        <v/>
      </c>
      <c r="Y48" s="125">
        <f>IF($A48="","",XLOOKUP(X48,'Deployment Gates'!$A$5:$A$9,'Deployment Gates'!$C$5:$C$9))</f>
        <v/>
      </c>
      <c r="Z48" s="125" t="n"/>
      <c r="AA48" s="125">
        <f>IF($A48="","",IF(OR(X48="Edge Orbit",X48="Unstable Orbit",X48="Critical Orbit",H48&gt;=4,G48&gt;=4,E48&gt;=4,J48&gt;=4),"Yes","No"))</f>
        <v/>
      </c>
      <c r="AB48" s="125">
        <f>IF($A48="","",IF(W48&lt;0,"Yes","No"))</f>
        <v/>
      </c>
      <c r="AC48" s="125">
        <f>IF($A48="","",INDEX($L$4:$R$4,1,MATCH(MIN(L48:R48),L48:R48,0)))</f>
        <v/>
      </c>
      <c r="AD48" s="125">
        <f>IF($A48="","",INDEX($E$4:$K$4,1,MATCH(MAX(E48:K48),E48:K48,0)))</f>
        <v/>
      </c>
      <c r="AE48" s="125">
        <f>IF($A48="","",XLOOKUP(AC48,'Control Uplift Planner'!$A$5:$A$11,'Control Uplift Planner'!$B$5:$B$11))</f>
        <v/>
      </c>
      <c r="AF48" s="131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>
        <f>IF(AND(MAX(L49:R49)&gt;3,S49&lt;3),"Warning: EGI &gt;3 needs Tier 3+ evidence",IF(AND(C49="Autonomous Operations Zone",S49&lt;4),"Warning: Autonomous zone needs Tier 4 evidence","OK"))</f>
        <v/>
      </c>
      <c r="U49" s="128">
        <f>IF($A49="","",IF($D49="Basic",SUM(E49:K49)/35*100,SUMPRODUCT(E49:K49,XLOOKUP($B49,'Weighted Scoring'!$A$5:$A$13,'Weighted Scoring'!$B$5:$H$13))/SUMPRODUCT(5,XLOOKUP($B49,'Weighted Scoring'!$A$5:$A$13,'Weighted Scoring'!$B$5:$H$13))*100))</f>
        <v/>
      </c>
      <c r="V49" s="128">
        <f>IF($A49="","",IF($D49="Basic",SUM(L49:R49)/35*100,SUMPRODUCT(L49:R49,XLOOKUP($B49,'Weighted Scoring'!$A$5:$A$13,'Weighted Scoring'!$I$5:$O$13))/SUMPRODUCT(5,XLOOKUP($B49,'Weighted Scoring'!$A$5:$A$13,'Weighted Scoring'!$I$5:$O$13))*100))</f>
        <v/>
      </c>
      <c r="W49" s="128">
        <f>IF($A49="","",V49-U49)</f>
        <v/>
      </c>
      <c r="X49" s="125">
        <f>IF($A49="","",IFS(W49&gt;=40,"Stable Orbit",W49&gt;=15,"Controlled Orbit",W49&gt;=-14,"Edge Orbit",W49&gt;=-39,"Unstable Orbit",TRUE,"Critical Orbit"))</f>
        <v/>
      </c>
      <c r="Y49" s="125">
        <f>IF($A49="","",XLOOKUP(X49,'Deployment Gates'!$A$5:$A$9,'Deployment Gates'!$C$5:$C$9))</f>
        <v/>
      </c>
      <c r="Z49" s="125" t="n"/>
      <c r="AA49" s="125">
        <f>IF($A49="","",IF(OR(X49="Edge Orbit",X49="Unstable Orbit",X49="Critical Orbit",H49&gt;=4,G49&gt;=4,E49&gt;=4,J49&gt;=4),"Yes","No"))</f>
        <v/>
      </c>
      <c r="AB49" s="125">
        <f>IF($A49="","",IF(W49&lt;0,"Yes","No"))</f>
        <v/>
      </c>
      <c r="AC49" s="125">
        <f>IF($A49="","",INDEX($L$4:$R$4,1,MATCH(MIN(L49:R49),L49:R49,0)))</f>
        <v/>
      </c>
      <c r="AD49" s="125">
        <f>IF($A49="","",INDEX($E$4:$K$4,1,MATCH(MAX(E49:K49),E49:K49,0)))</f>
        <v/>
      </c>
      <c r="AE49" s="125">
        <f>IF($A49="","",XLOOKUP(AC49,'Control Uplift Planner'!$A$5:$A$11,'Control Uplift Planner'!$B$5:$B$11))</f>
        <v/>
      </c>
      <c r="AF49" s="131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>
        <f>IF(AND(MAX(L50:R50)&gt;3,S50&lt;3),"Warning: EGI &gt;3 needs Tier 3+ evidence",IF(AND(C50="Autonomous Operations Zone",S50&lt;4),"Warning: Autonomous zone needs Tier 4 evidence","OK"))</f>
        <v/>
      </c>
      <c r="U50" s="128">
        <f>IF($A50="","",IF($D50="Basic",SUM(E50:K50)/35*100,SUMPRODUCT(E50:K50,XLOOKUP($B50,'Weighted Scoring'!$A$5:$A$13,'Weighted Scoring'!$B$5:$H$13))/SUMPRODUCT(5,XLOOKUP($B50,'Weighted Scoring'!$A$5:$A$13,'Weighted Scoring'!$B$5:$H$13))*100))</f>
        <v/>
      </c>
      <c r="V50" s="128">
        <f>IF($A50="","",IF($D50="Basic",SUM(L50:R50)/35*100,SUMPRODUCT(L50:R50,XLOOKUP($B50,'Weighted Scoring'!$A$5:$A$13,'Weighted Scoring'!$I$5:$O$13))/SUMPRODUCT(5,XLOOKUP($B50,'Weighted Scoring'!$A$5:$A$13,'Weighted Scoring'!$I$5:$O$13))*100))</f>
        <v/>
      </c>
      <c r="W50" s="128">
        <f>IF($A50="","",V50-U50)</f>
        <v/>
      </c>
      <c r="X50" s="125">
        <f>IF($A50="","",IFS(W50&gt;=40,"Stable Orbit",W50&gt;=15,"Controlled Orbit",W50&gt;=-14,"Edge Orbit",W50&gt;=-39,"Unstable Orbit",TRUE,"Critical Orbit"))</f>
        <v/>
      </c>
      <c r="Y50" s="125">
        <f>IF($A50="","",XLOOKUP(X50,'Deployment Gates'!$A$5:$A$9,'Deployment Gates'!$C$5:$C$9))</f>
        <v/>
      </c>
      <c r="Z50" s="125" t="n"/>
      <c r="AA50" s="125">
        <f>IF($A50="","",IF(OR(X50="Edge Orbit",X50="Unstable Orbit",X50="Critical Orbit",H50&gt;=4,G50&gt;=4,E50&gt;=4,J50&gt;=4),"Yes","No"))</f>
        <v/>
      </c>
      <c r="AB50" s="125">
        <f>IF($A50="","",IF(W50&lt;0,"Yes","No"))</f>
        <v/>
      </c>
      <c r="AC50" s="125">
        <f>IF($A50="","",INDEX($L$4:$R$4,1,MATCH(MIN(L50:R50),L50:R50,0)))</f>
        <v/>
      </c>
      <c r="AD50" s="125">
        <f>IF($A50="","",INDEX($E$4:$K$4,1,MATCH(MAX(E50:K50),E50:K50,0)))</f>
        <v/>
      </c>
      <c r="AE50" s="125">
        <f>IF($A50="","",XLOOKUP(AC50,'Control Uplift Planner'!$A$5:$A$11,'Control Uplift Planner'!$B$5:$B$11))</f>
        <v/>
      </c>
      <c r="AF50" s="131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>
        <f>IF(AND(MAX(L51:R51)&gt;3,S51&lt;3),"Warning: EGI &gt;3 needs Tier 3+ evidence",IF(AND(C51="Autonomous Operations Zone",S51&lt;4),"Warning: Autonomous zone needs Tier 4 evidence","OK"))</f>
        <v/>
      </c>
      <c r="U51" s="128">
        <f>IF($A51="","",IF($D51="Basic",SUM(E51:K51)/35*100,SUMPRODUCT(E51:K51,XLOOKUP($B51,'Weighted Scoring'!$A$5:$A$13,'Weighted Scoring'!$B$5:$H$13))/SUMPRODUCT(5,XLOOKUP($B51,'Weighted Scoring'!$A$5:$A$13,'Weighted Scoring'!$B$5:$H$13))*100))</f>
        <v/>
      </c>
      <c r="V51" s="128">
        <f>IF($A51="","",IF($D51="Basic",SUM(L51:R51)/35*100,SUMPRODUCT(L51:R51,XLOOKUP($B51,'Weighted Scoring'!$A$5:$A$13,'Weighted Scoring'!$I$5:$O$13))/SUMPRODUCT(5,XLOOKUP($B51,'Weighted Scoring'!$A$5:$A$13,'Weighted Scoring'!$I$5:$O$13))*100))</f>
        <v/>
      </c>
      <c r="W51" s="128">
        <f>IF($A51="","",V51-U51)</f>
        <v/>
      </c>
      <c r="X51" s="125">
        <f>IF($A51="","",IFS(W51&gt;=40,"Stable Orbit",W51&gt;=15,"Controlled Orbit",W51&gt;=-14,"Edge Orbit",W51&gt;=-39,"Unstable Orbit",TRUE,"Critical Orbit"))</f>
        <v/>
      </c>
      <c r="Y51" s="125">
        <f>IF($A51="","",XLOOKUP(X51,'Deployment Gates'!$A$5:$A$9,'Deployment Gates'!$C$5:$C$9))</f>
        <v/>
      </c>
      <c r="Z51" s="125" t="n"/>
      <c r="AA51" s="125">
        <f>IF($A51="","",IF(OR(X51="Edge Orbit",X51="Unstable Orbit",X51="Critical Orbit",H51&gt;=4,G51&gt;=4,E51&gt;=4,J51&gt;=4),"Yes","No"))</f>
        <v/>
      </c>
      <c r="AB51" s="125">
        <f>IF($A51="","",IF(W51&lt;0,"Yes","No"))</f>
        <v/>
      </c>
      <c r="AC51" s="125">
        <f>IF($A51="","",INDEX($L$4:$R$4,1,MATCH(MIN(L51:R51),L51:R51,0)))</f>
        <v/>
      </c>
      <c r="AD51" s="125">
        <f>IF($A51="","",INDEX($E$4:$K$4,1,MATCH(MAX(E51:K51),E51:K51,0)))</f>
        <v/>
      </c>
      <c r="AE51" s="125">
        <f>IF($A51="","",XLOOKUP(AC51,'Control Uplift Planner'!$A$5:$A$11,'Control Uplift Planner'!$B$5:$B$11))</f>
        <v/>
      </c>
      <c r="AF51" s="131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>
        <f>IF(AND(MAX(L52:R52)&gt;3,S52&lt;3),"Warning: EGI &gt;3 needs Tier 3+ evidence",IF(AND(C52="Autonomous Operations Zone",S52&lt;4),"Warning: Autonomous zone needs Tier 4 evidence","OK"))</f>
        <v/>
      </c>
      <c r="U52" s="128">
        <f>IF($A52="","",IF($D52="Basic",SUM(E52:K52)/35*100,SUMPRODUCT(E52:K52,XLOOKUP($B52,'Weighted Scoring'!$A$5:$A$13,'Weighted Scoring'!$B$5:$H$13))/SUMPRODUCT(5,XLOOKUP($B52,'Weighted Scoring'!$A$5:$A$13,'Weighted Scoring'!$B$5:$H$13))*100))</f>
        <v/>
      </c>
      <c r="V52" s="128">
        <f>IF($A52="","",IF($D52="Basic",SUM(L52:R52)/35*100,SUMPRODUCT(L52:R52,XLOOKUP($B52,'Weighted Scoring'!$A$5:$A$13,'Weighted Scoring'!$I$5:$O$13))/SUMPRODUCT(5,XLOOKUP($B52,'Weighted Scoring'!$A$5:$A$13,'Weighted Scoring'!$I$5:$O$13))*100))</f>
        <v/>
      </c>
      <c r="W52" s="128">
        <f>IF($A52="","",V52-U52)</f>
        <v/>
      </c>
      <c r="X52" s="125">
        <f>IF($A52="","",IFS(W52&gt;=40,"Stable Orbit",W52&gt;=15,"Controlled Orbit",W52&gt;=-14,"Edge Orbit",W52&gt;=-39,"Unstable Orbit",TRUE,"Critical Orbit"))</f>
        <v/>
      </c>
      <c r="Y52" s="125">
        <f>IF($A52="","",XLOOKUP(X52,'Deployment Gates'!$A$5:$A$9,'Deployment Gates'!$C$5:$C$9))</f>
        <v/>
      </c>
      <c r="Z52" s="125" t="n"/>
      <c r="AA52" s="125">
        <f>IF($A52="","",IF(OR(X52="Edge Orbit",X52="Unstable Orbit",X52="Critical Orbit",H52&gt;=4,G52&gt;=4,E52&gt;=4,J52&gt;=4),"Yes","No"))</f>
        <v/>
      </c>
      <c r="AB52" s="125">
        <f>IF($A52="","",IF(W52&lt;0,"Yes","No"))</f>
        <v/>
      </c>
      <c r="AC52" s="125">
        <f>IF($A52="","",INDEX($L$4:$R$4,1,MATCH(MIN(L52:R52),L52:R52,0)))</f>
        <v/>
      </c>
      <c r="AD52" s="125">
        <f>IF($A52="","",INDEX($E$4:$K$4,1,MATCH(MAX(E52:K52),E52:K52,0)))</f>
        <v/>
      </c>
      <c r="AE52" s="125">
        <f>IF($A52="","",XLOOKUP(AC52,'Control Uplift Planner'!$A$5:$A$11,'Control Uplift Planner'!$B$5:$B$11))</f>
        <v/>
      </c>
      <c r="AF52" s="131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>
        <f>IF(AND(MAX(L53:R53)&gt;3,S53&lt;3),"Warning: EGI &gt;3 needs Tier 3+ evidence",IF(AND(C53="Autonomous Operations Zone",S53&lt;4),"Warning: Autonomous zone needs Tier 4 evidence","OK"))</f>
        <v/>
      </c>
      <c r="U53" s="128">
        <f>IF($A53="","",IF($D53="Basic",SUM(E53:K53)/35*100,SUMPRODUCT(E53:K53,XLOOKUP($B53,'Weighted Scoring'!$A$5:$A$13,'Weighted Scoring'!$B$5:$H$13))/SUMPRODUCT(5,XLOOKUP($B53,'Weighted Scoring'!$A$5:$A$13,'Weighted Scoring'!$B$5:$H$13))*100))</f>
        <v/>
      </c>
      <c r="V53" s="128">
        <f>IF($A53="","",IF($D53="Basic",SUM(L53:R53)/35*100,SUMPRODUCT(L53:R53,XLOOKUP($B53,'Weighted Scoring'!$A$5:$A$13,'Weighted Scoring'!$I$5:$O$13))/SUMPRODUCT(5,XLOOKUP($B53,'Weighted Scoring'!$A$5:$A$13,'Weighted Scoring'!$I$5:$O$13))*100))</f>
        <v/>
      </c>
      <c r="W53" s="128">
        <f>IF($A53="","",V53-U53)</f>
        <v/>
      </c>
      <c r="X53" s="125">
        <f>IF($A53="","",IFS(W53&gt;=40,"Stable Orbit",W53&gt;=15,"Controlled Orbit",W53&gt;=-14,"Edge Orbit",W53&gt;=-39,"Unstable Orbit",TRUE,"Critical Orbit"))</f>
        <v/>
      </c>
      <c r="Y53" s="125">
        <f>IF($A53="","",XLOOKUP(X53,'Deployment Gates'!$A$5:$A$9,'Deployment Gates'!$C$5:$C$9))</f>
        <v/>
      </c>
      <c r="Z53" s="125" t="n"/>
      <c r="AA53" s="125">
        <f>IF($A53="","",IF(OR(X53="Edge Orbit",X53="Unstable Orbit",X53="Critical Orbit",H53&gt;=4,G53&gt;=4,E53&gt;=4,J53&gt;=4),"Yes","No"))</f>
        <v/>
      </c>
      <c r="AB53" s="125">
        <f>IF($A53="","",IF(W53&lt;0,"Yes","No"))</f>
        <v/>
      </c>
      <c r="AC53" s="125">
        <f>IF($A53="","",INDEX($L$4:$R$4,1,MATCH(MIN(L53:R53),L53:R53,0)))</f>
        <v/>
      </c>
      <c r="AD53" s="125">
        <f>IF($A53="","",INDEX($E$4:$K$4,1,MATCH(MAX(E53:K53),E53:K53,0)))</f>
        <v/>
      </c>
      <c r="AE53" s="125">
        <f>IF($A53="","",XLOOKUP(AC53,'Control Uplift Planner'!$A$5:$A$11,'Control Uplift Planner'!$B$5:$B$11))</f>
        <v/>
      </c>
      <c r="AF53" s="131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>
        <f>IF(AND(MAX(L54:R54)&gt;3,S54&lt;3),"Warning: EGI &gt;3 needs Tier 3+ evidence",IF(AND(C54="Autonomous Operations Zone",S54&lt;4),"Warning: Autonomous zone needs Tier 4 evidence","OK"))</f>
        <v/>
      </c>
      <c r="U54" s="128">
        <f>IF($A54="","",IF($D54="Basic",SUM(E54:K54)/35*100,SUMPRODUCT(E54:K54,XLOOKUP($B54,'Weighted Scoring'!$A$5:$A$13,'Weighted Scoring'!$B$5:$H$13))/SUMPRODUCT(5,XLOOKUP($B54,'Weighted Scoring'!$A$5:$A$13,'Weighted Scoring'!$B$5:$H$13))*100))</f>
        <v/>
      </c>
      <c r="V54" s="128">
        <f>IF($A54="","",IF($D54="Basic",SUM(L54:R54)/35*100,SUMPRODUCT(L54:R54,XLOOKUP($B54,'Weighted Scoring'!$A$5:$A$13,'Weighted Scoring'!$I$5:$O$13))/SUMPRODUCT(5,XLOOKUP($B54,'Weighted Scoring'!$A$5:$A$13,'Weighted Scoring'!$I$5:$O$13))*100))</f>
        <v/>
      </c>
      <c r="W54" s="128">
        <f>IF($A54="","",V54-U54)</f>
        <v/>
      </c>
      <c r="X54" s="125">
        <f>IF($A54="","",IFS(W54&gt;=40,"Stable Orbit",W54&gt;=15,"Controlled Orbit",W54&gt;=-14,"Edge Orbit",W54&gt;=-39,"Unstable Orbit",TRUE,"Critical Orbit"))</f>
        <v/>
      </c>
      <c r="Y54" s="125">
        <f>IF($A54="","",XLOOKUP(X54,'Deployment Gates'!$A$5:$A$9,'Deployment Gates'!$C$5:$C$9))</f>
        <v/>
      </c>
      <c r="Z54" s="125" t="n"/>
      <c r="AA54" s="125">
        <f>IF($A54="","",IF(OR(X54="Edge Orbit",X54="Unstable Orbit",X54="Critical Orbit",H54&gt;=4,G54&gt;=4,E54&gt;=4,J54&gt;=4),"Yes","No"))</f>
        <v/>
      </c>
      <c r="AB54" s="125">
        <f>IF($A54="","",IF(W54&lt;0,"Yes","No"))</f>
        <v/>
      </c>
      <c r="AC54" s="125">
        <f>IF($A54="","",INDEX($L$4:$R$4,1,MATCH(MIN(L54:R54),L54:R54,0)))</f>
        <v/>
      </c>
      <c r="AD54" s="125">
        <f>IF($A54="","",INDEX($E$4:$K$4,1,MATCH(MAX(E54:K54),E54:K54,0)))</f>
        <v/>
      </c>
      <c r="AE54" s="125">
        <f>IF($A54="","",XLOOKUP(AC54,'Control Uplift Planner'!$A$5:$A$11,'Control Uplift Planner'!$B$5:$B$11))</f>
        <v/>
      </c>
      <c r="AF54" s="131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>
        <f>IF(AND(MAX(L55:R55)&gt;3,S55&lt;3),"Warning: EGI &gt;3 needs Tier 3+ evidence",IF(AND(C55="Autonomous Operations Zone",S55&lt;4),"Warning: Autonomous zone needs Tier 4 evidence","OK"))</f>
        <v/>
      </c>
      <c r="U55" s="128">
        <f>IF($A55="","",IF($D55="Basic",SUM(E55:K55)/35*100,SUMPRODUCT(E55:K55,XLOOKUP($B55,'Weighted Scoring'!$A$5:$A$13,'Weighted Scoring'!$B$5:$H$13))/SUMPRODUCT(5,XLOOKUP($B55,'Weighted Scoring'!$A$5:$A$13,'Weighted Scoring'!$B$5:$H$13))*100))</f>
        <v/>
      </c>
      <c r="V55" s="128">
        <f>IF($A55="","",IF($D55="Basic",SUM(L55:R55)/35*100,SUMPRODUCT(L55:R55,XLOOKUP($B55,'Weighted Scoring'!$A$5:$A$13,'Weighted Scoring'!$I$5:$O$13))/SUMPRODUCT(5,XLOOKUP($B55,'Weighted Scoring'!$A$5:$A$13,'Weighted Scoring'!$I$5:$O$13))*100))</f>
        <v/>
      </c>
      <c r="W55" s="128">
        <f>IF($A55="","",V55-U55)</f>
        <v/>
      </c>
      <c r="X55" s="125">
        <f>IF($A55="","",IFS(W55&gt;=40,"Stable Orbit",W55&gt;=15,"Controlled Orbit",W55&gt;=-14,"Edge Orbit",W55&gt;=-39,"Unstable Orbit",TRUE,"Critical Orbit"))</f>
        <v/>
      </c>
      <c r="Y55" s="125">
        <f>IF($A55="","",XLOOKUP(X55,'Deployment Gates'!$A$5:$A$9,'Deployment Gates'!$C$5:$C$9))</f>
        <v/>
      </c>
      <c r="Z55" s="125" t="n"/>
      <c r="AA55" s="125">
        <f>IF($A55="","",IF(OR(X55="Edge Orbit",X55="Unstable Orbit",X55="Critical Orbit",H55&gt;=4,G55&gt;=4,E55&gt;=4,J55&gt;=4),"Yes","No"))</f>
        <v/>
      </c>
      <c r="AB55" s="125">
        <f>IF($A55="","",IF(W55&lt;0,"Yes","No"))</f>
        <v/>
      </c>
      <c r="AC55" s="125">
        <f>IF($A55="","",INDEX($L$4:$R$4,1,MATCH(MIN(L55:R55),L55:R55,0)))</f>
        <v/>
      </c>
      <c r="AD55" s="125">
        <f>IF($A55="","",INDEX($E$4:$K$4,1,MATCH(MAX(E55:K55),E55:K55,0)))</f>
        <v/>
      </c>
      <c r="AE55" s="125">
        <f>IF($A55="","",XLOOKUP(AC55,'Control Uplift Planner'!$A$5:$A$11,'Control Uplift Planner'!$B$5:$B$11))</f>
        <v/>
      </c>
      <c r="AF55" s="131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>
        <f>IF(AND(MAX(L56:R56)&gt;3,S56&lt;3),"Warning: EGI &gt;3 needs Tier 3+ evidence",IF(AND(C56="Autonomous Operations Zone",S56&lt;4),"Warning: Autonomous zone needs Tier 4 evidence","OK"))</f>
        <v/>
      </c>
      <c r="U56" s="128">
        <f>IF($A56="","",IF($D56="Basic",SUM(E56:K56)/35*100,SUMPRODUCT(E56:K56,XLOOKUP($B56,'Weighted Scoring'!$A$5:$A$13,'Weighted Scoring'!$B$5:$H$13))/SUMPRODUCT(5,XLOOKUP($B56,'Weighted Scoring'!$A$5:$A$13,'Weighted Scoring'!$B$5:$H$13))*100))</f>
        <v/>
      </c>
      <c r="V56" s="128">
        <f>IF($A56="","",IF($D56="Basic",SUM(L56:R56)/35*100,SUMPRODUCT(L56:R56,XLOOKUP($B56,'Weighted Scoring'!$A$5:$A$13,'Weighted Scoring'!$I$5:$O$13))/SUMPRODUCT(5,XLOOKUP($B56,'Weighted Scoring'!$A$5:$A$13,'Weighted Scoring'!$I$5:$O$13))*100))</f>
        <v/>
      </c>
      <c r="W56" s="128">
        <f>IF($A56="","",V56-U56)</f>
        <v/>
      </c>
      <c r="X56" s="125">
        <f>IF($A56="","",IFS(W56&gt;=40,"Stable Orbit",W56&gt;=15,"Controlled Orbit",W56&gt;=-14,"Edge Orbit",W56&gt;=-39,"Unstable Orbit",TRUE,"Critical Orbit"))</f>
        <v/>
      </c>
      <c r="Y56" s="125">
        <f>IF($A56="","",XLOOKUP(X56,'Deployment Gates'!$A$5:$A$9,'Deployment Gates'!$C$5:$C$9))</f>
        <v/>
      </c>
      <c r="Z56" s="125" t="n"/>
      <c r="AA56" s="125">
        <f>IF($A56="","",IF(OR(X56="Edge Orbit",X56="Unstable Orbit",X56="Critical Orbit",H56&gt;=4,G56&gt;=4,E56&gt;=4,J56&gt;=4),"Yes","No"))</f>
        <v/>
      </c>
      <c r="AB56" s="125">
        <f>IF($A56="","",IF(W56&lt;0,"Yes","No"))</f>
        <v/>
      </c>
      <c r="AC56" s="125">
        <f>IF($A56="","",INDEX($L$4:$R$4,1,MATCH(MIN(L56:R56),L56:R56,0)))</f>
        <v/>
      </c>
      <c r="AD56" s="125">
        <f>IF($A56="","",INDEX($E$4:$K$4,1,MATCH(MAX(E56:K56),E56:K56,0)))</f>
        <v/>
      </c>
      <c r="AE56" s="125">
        <f>IF($A56="","",XLOOKUP(AC56,'Control Uplift Planner'!$A$5:$A$11,'Control Uplift Planner'!$B$5:$B$11))</f>
        <v/>
      </c>
      <c r="AF56" s="131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>
        <f>IF(AND(MAX(L57:R57)&gt;3,S57&lt;3),"Warning: EGI &gt;3 needs Tier 3+ evidence",IF(AND(C57="Autonomous Operations Zone",S57&lt;4),"Warning: Autonomous zone needs Tier 4 evidence","OK"))</f>
        <v/>
      </c>
      <c r="U57" s="128">
        <f>IF($A57="","",IF($D57="Basic",SUM(E57:K57)/35*100,SUMPRODUCT(E57:K57,XLOOKUP($B57,'Weighted Scoring'!$A$5:$A$13,'Weighted Scoring'!$B$5:$H$13))/SUMPRODUCT(5,XLOOKUP($B57,'Weighted Scoring'!$A$5:$A$13,'Weighted Scoring'!$B$5:$H$13))*100))</f>
        <v/>
      </c>
      <c r="V57" s="128">
        <f>IF($A57="","",IF($D57="Basic",SUM(L57:R57)/35*100,SUMPRODUCT(L57:R57,XLOOKUP($B57,'Weighted Scoring'!$A$5:$A$13,'Weighted Scoring'!$I$5:$O$13))/SUMPRODUCT(5,XLOOKUP($B57,'Weighted Scoring'!$A$5:$A$13,'Weighted Scoring'!$I$5:$O$13))*100))</f>
        <v/>
      </c>
      <c r="W57" s="128">
        <f>IF($A57="","",V57-U57)</f>
        <v/>
      </c>
      <c r="X57" s="125">
        <f>IF($A57="","",IFS(W57&gt;=40,"Stable Orbit",W57&gt;=15,"Controlled Orbit",W57&gt;=-14,"Edge Orbit",W57&gt;=-39,"Unstable Orbit",TRUE,"Critical Orbit"))</f>
        <v/>
      </c>
      <c r="Y57" s="125">
        <f>IF($A57="","",XLOOKUP(X57,'Deployment Gates'!$A$5:$A$9,'Deployment Gates'!$C$5:$C$9))</f>
        <v/>
      </c>
      <c r="Z57" s="125" t="n"/>
      <c r="AA57" s="125">
        <f>IF($A57="","",IF(OR(X57="Edge Orbit",X57="Unstable Orbit",X57="Critical Orbit",H57&gt;=4,G57&gt;=4,E57&gt;=4,J57&gt;=4),"Yes","No"))</f>
        <v/>
      </c>
      <c r="AB57" s="125">
        <f>IF($A57="","",IF(W57&lt;0,"Yes","No"))</f>
        <v/>
      </c>
      <c r="AC57" s="125">
        <f>IF($A57="","",INDEX($L$4:$R$4,1,MATCH(MIN(L57:R57),L57:R57,0)))</f>
        <v/>
      </c>
      <c r="AD57" s="125">
        <f>IF($A57="","",INDEX($E$4:$K$4,1,MATCH(MAX(E57:K57),E57:K57,0)))</f>
        <v/>
      </c>
      <c r="AE57" s="125">
        <f>IF($A57="","",XLOOKUP(AC57,'Control Uplift Planner'!$A$5:$A$11,'Control Uplift Planner'!$B$5:$B$11))</f>
        <v/>
      </c>
      <c r="AF57" s="131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>
        <f>IF(AND(MAX(L58:R58)&gt;3,S58&lt;3),"Warning: EGI &gt;3 needs Tier 3+ evidence",IF(AND(C58="Autonomous Operations Zone",S58&lt;4),"Warning: Autonomous zone needs Tier 4 evidence","OK"))</f>
        <v/>
      </c>
      <c r="U58" s="128">
        <f>IF($A58="","",IF($D58="Basic",SUM(E58:K58)/35*100,SUMPRODUCT(E58:K58,XLOOKUP($B58,'Weighted Scoring'!$A$5:$A$13,'Weighted Scoring'!$B$5:$H$13))/SUMPRODUCT(5,XLOOKUP($B58,'Weighted Scoring'!$A$5:$A$13,'Weighted Scoring'!$B$5:$H$13))*100))</f>
        <v/>
      </c>
      <c r="V58" s="128">
        <f>IF($A58="","",IF($D58="Basic",SUM(L58:R58)/35*100,SUMPRODUCT(L58:R58,XLOOKUP($B58,'Weighted Scoring'!$A$5:$A$13,'Weighted Scoring'!$I$5:$O$13))/SUMPRODUCT(5,XLOOKUP($B58,'Weighted Scoring'!$A$5:$A$13,'Weighted Scoring'!$I$5:$O$13))*100))</f>
        <v/>
      </c>
      <c r="W58" s="128">
        <f>IF($A58="","",V58-U58)</f>
        <v/>
      </c>
      <c r="X58" s="125">
        <f>IF($A58="","",IFS(W58&gt;=40,"Stable Orbit",W58&gt;=15,"Controlled Orbit",W58&gt;=-14,"Edge Orbit",W58&gt;=-39,"Unstable Orbit",TRUE,"Critical Orbit"))</f>
        <v/>
      </c>
      <c r="Y58" s="125">
        <f>IF($A58="","",XLOOKUP(X58,'Deployment Gates'!$A$5:$A$9,'Deployment Gates'!$C$5:$C$9))</f>
        <v/>
      </c>
      <c r="Z58" s="125" t="n"/>
      <c r="AA58" s="125">
        <f>IF($A58="","",IF(OR(X58="Edge Orbit",X58="Unstable Orbit",X58="Critical Orbit",H58&gt;=4,G58&gt;=4,E58&gt;=4,J58&gt;=4),"Yes","No"))</f>
        <v/>
      </c>
      <c r="AB58" s="125">
        <f>IF($A58="","",IF(W58&lt;0,"Yes","No"))</f>
        <v/>
      </c>
      <c r="AC58" s="125">
        <f>IF($A58="","",INDEX($L$4:$R$4,1,MATCH(MIN(L58:R58),L58:R58,0)))</f>
        <v/>
      </c>
      <c r="AD58" s="125">
        <f>IF($A58="","",INDEX($E$4:$K$4,1,MATCH(MAX(E58:K58),E58:K58,0)))</f>
        <v/>
      </c>
      <c r="AE58" s="125">
        <f>IF($A58="","",XLOOKUP(AC58,'Control Uplift Planner'!$A$5:$A$11,'Control Uplift Planner'!$B$5:$B$11))</f>
        <v/>
      </c>
      <c r="AF58" s="131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>
        <f>IF(AND(MAX(L59:R59)&gt;3,S59&lt;3),"Warning: EGI &gt;3 needs Tier 3+ evidence",IF(AND(C59="Autonomous Operations Zone",S59&lt;4),"Warning: Autonomous zone needs Tier 4 evidence","OK"))</f>
        <v/>
      </c>
      <c r="U59" s="128">
        <f>IF($A59="","",IF($D59="Basic",SUM(E59:K59)/35*100,SUMPRODUCT(E59:K59,XLOOKUP($B59,'Weighted Scoring'!$A$5:$A$13,'Weighted Scoring'!$B$5:$H$13))/SUMPRODUCT(5,XLOOKUP($B59,'Weighted Scoring'!$A$5:$A$13,'Weighted Scoring'!$B$5:$H$13))*100))</f>
        <v/>
      </c>
      <c r="V59" s="128">
        <f>IF($A59="","",IF($D59="Basic",SUM(L59:R59)/35*100,SUMPRODUCT(L59:R59,XLOOKUP($B59,'Weighted Scoring'!$A$5:$A$13,'Weighted Scoring'!$I$5:$O$13))/SUMPRODUCT(5,XLOOKUP($B59,'Weighted Scoring'!$A$5:$A$13,'Weighted Scoring'!$I$5:$O$13))*100))</f>
        <v/>
      </c>
      <c r="W59" s="128">
        <f>IF($A59="","",V59-U59)</f>
        <v/>
      </c>
      <c r="X59" s="125">
        <f>IF($A59="","",IFS(W59&gt;=40,"Stable Orbit",W59&gt;=15,"Controlled Orbit",W59&gt;=-14,"Edge Orbit",W59&gt;=-39,"Unstable Orbit",TRUE,"Critical Orbit"))</f>
        <v/>
      </c>
      <c r="Y59" s="125">
        <f>IF($A59="","",XLOOKUP(X59,'Deployment Gates'!$A$5:$A$9,'Deployment Gates'!$C$5:$C$9))</f>
        <v/>
      </c>
      <c r="Z59" s="125" t="n"/>
      <c r="AA59" s="125">
        <f>IF($A59="","",IF(OR(X59="Edge Orbit",X59="Unstable Orbit",X59="Critical Orbit",H59&gt;=4,G59&gt;=4,E59&gt;=4,J59&gt;=4),"Yes","No"))</f>
        <v/>
      </c>
      <c r="AB59" s="125">
        <f>IF($A59="","",IF(W59&lt;0,"Yes","No"))</f>
        <v/>
      </c>
      <c r="AC59" s="125">
        <f>IF($A59="","",INDEX($L$4:$R$4,1,MATCH(MIN(L59:R59),L59:R59,0)))</f>
        <v/>
      </c>
      <c r="AD59" s="125">
        <f>IF($A59="","",INDEX($E$4:$K$4,1,MATCH(MAX(E59:K59),E59:K59,0)))</f>
        <v/>
      </c>
      <c r="AE59" s="125">
        <f>IF($A59="","",XLOOKUP(AC59,'Control Uplift Planner'!$A$5:$A$11,'Control Uplift Planner'!$B$5:$B$11))</f>
        <v/>
      </c>
      <c r="AF59" s="131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>
        <f>IF(AND(MAX(L60:R60)&gt;3,S60&lt;3),"Warning: EGI &gt;3 needs Tier 3+ evidence",IF(AND(C60="Autonomous Operations Zone",S60&lt;4),"Warning: Autonomous zone needs Tier 4 evidence","OK"))</f>
        <v/>
      </c>
      <c r="U60" s="128">
        <f>IF($A60="","",IF($D60="Basic",SUM(E60:K60)/35*100,SUMPRODUCT(E60:K60,XLOOKUP($B60,'Weighted Scoring'!$A$5:$A$13,'Weighted Scoring'!$B$5:$H$13))/SUMPRODUCT(5,XLOOKUP($B60,'Weighted Scoring'!$A$5:$A$13,'Weighted Scoring'!$B$5:$H$13))*100))</f>
        <v/>
      </c>
      <c r="V60" s="128">
        <f>IF($A60="","",IF($D60="Basic",SUM(L60:R60)/35*100,SUMPRODUCT(L60:R60,XLOOKUP($B60,'Weighted Scoring'!$A$5:$A$13,'Weighted Scoring'!$I$5:$O$13))/SUMPRODUCT(5,XLOOKUP($B60,'Weighted Scoring'!$A$5:$A$13,'Weighted Scoring'!$I$5:$O$13))*100))</f>
        <v/>
      </c>
      <c r="W60" s="128">
        <f>IF($A60="","",V60-U60)</f>
        <v/>
      </c>
      <c r="X60" s="125">
        <f>IF($A60="","",IFS(W60&gt;=40,"Stable Orbit",W60&gt;=15,"Controlled Orbit",W60&gt;=-14,"Edge Orbit",W60&gt;=-39,"Unstable Orbit",TRUE,"Critical Orbit"))</f>
        <v/>
      </c>
      <c r="Y60" s="125">
        <f>IF($A60="","",XLOOKUP(X60,'Deployment Gates'!$A$5:$A$9,'Deployment Gates'!$C$5:$C$9))</f>
        <v/>
      </c>
      <c r="Z60" s="125" t="n"/>
      <c r="AA60" s="125">
        <f>IF($A60="","",IF(OR(X60="Edge Orbit",X60="Unstable Orbit",X60="Critical Orbit",H60&gt;=4,G60&gt;=4,E60&gt;=4,J60&gt;=4),"Yes","No"))</f>
        <v/>
      </c>
      <c r="AB60" s="125">
        <f>IF($A60="","",IF(W60&lt;0,"Yes","No"))</f>
        <v/>
      </c>
      <c r="AC60" s="125">
        <f>IF($A60="","",INDEX($L$4:$R$4,1,MATCH(MIN(L60:R60),L60:R60,0)))</f>
        <v/>
      </c>
      <c r="AD60" s="125">
        <f>IF($A60="","",INDEX($E$4:$K$4,1,MATCH(MAX(E60:K60),E60:K60,0)))</f>
        <v/>
      </c>
      <c r="AE60" s="125">
        <f>IF($A60="","",XLOOKUP(AC60,'Control Uplift Planner'!$A$5:$A$11,'Control Uplift Planner'!$B$5:$B$11))</f>
        <v/>
      </c>
      <c r="AF60" s="131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>
        <f>IF(AND(MAX(L61:R61)&gt;3,S61&lt;3),"Warning: EGI &gt;3 needs Tier 3+ evidence",IF(AND(C61="Autonomous Operations Zone",S61&lt;4),"Warning: Autonomous zone needs Tier 4 evidence","OK"))</f>
        <v/>
      </c>
      <c r="U61" s="128">
        <f>IF($A61="","",IF($D61="Basic",SUM(E61:K61)/35*100,SUMPRODUCT(E61:K61,XLOOKUP($B61,'Weighted Scoring'!$A$5:$A$13,'Weighted Scoring'!$B$5:$H$13))/SUMPRODUCT(5,XLOOKUP($B61,'Weighted Scoring'!$A$5:$A$13,'Weighted Scoring'!$B$5:$H$13))*100))</f>
        <v/>
      </c>
      <c r="V61" s="128">
        <f>IF($A61="","",IF($D61="Basic",SUM(L61:R61)/35*100,SUMPRODUCT(L61:R61,XLOOKUP($B61,'Weighted Scoring'!$A$5:$A$13,'Weighted Scoring'!$I$5:$O$13))/SUMPRODUCT(5,XLOOKUP($B61,'Weighted Scoring'!$A$5:$A$13,'Weighted Scoring'!$I$5:$O$13))*100))</f>
        <v/>
      </c>
      <c r="W61" s="128">
        <f>IF($A61="","",V61-U61)</f>
        <v/>
      </c>
      <c r="X61" s="125">
        <f>IF($A61="","",IFS(W61&gt;=40,"Stable Orbit",W61&gt;=15,"Controlled Orbit",W61&gt;=-14,"Edge Orbit",W61&gt;=-39,"Unstable Orbit",TRUE,"Critical Orbit"))</f>
        <v/>
      </c>
      <c r="Y61" s="125">
        <f>IF($A61="","",XLOOKUP(X61,'Deployment Gates'!$A$5:$A$9,'Deployment Gates'!$C$5:$C$9))</f>
        <v/>
      </c>
      <c r="Z61" s="125" t="n"/>
      <c r="AA61" s="125">
        <f>IF($A61="","",IF(OR(X61="Edge Orbit",X61="Unstable Orbit",X61="Critical Orbit",H61&gt;=4,G61&gt;=4,E61&gt;=4,J61&gt;=4),"Yes","No"))</f>
        <v/>
      </c>
      <c r="AB61" s="125">
        <f>IF($A61="","",IF(W61&lt;0,"Yes","No"))</f>
        <v/>
      </c>
      <c r="AC61" s="125">
        <f>IF($A61="","",INDEX($L$4:$R$4,1,MATCH(MIN(L61:R61),L61:R61,0)))</f>
        <v/>
      </c>
      <c r="AD61" s="125">
        <f>IF($A61="","",INDEX($E$4:$K$4,1,MATCH(MAX(E61:K61),E61:K61,0)))</f>
        <v/>
      </c>
      <c r="AE61" s="125">
        <f>IF($A61="","",XLOOKUP(AC61,'Control Uplift Planner'!$A$5:$A$11,'Control Uplift Planner'!$B$5:$B$11))</f>
        <v/>
      </c>
      <c r="AF61" s="131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>
        <f>IF(AND(MAX(L62:R62)&gt;3,S62&lt;3),"Warning: EGI &gt;3 needs Tier 3+ evidence",IF(AND(C62="Autonomous Operations Zone",S62&lt;4),"Warning: Autonomous zone needs Tier 4 evidence","OK"))</f>
        <v/>
      </c>
      <c r="U62" s="128">
        <f>IF($A62="","",IF($D62="Basic",SUM(E62:K62)/35*100,SUMPRODUCT(E62:K62,XLOOKUP($B62,'Weighted Scoring'!$A$5:$A$13,'Weighted Scoring'!$B$5:$H$13))/SUMPRODUCT(5,XLOOKUP($B62,'Weighted Scoring'!$A$5:$A$13,'Weighted Scoring'!$B$5:$H$13))*100))</f>
        <v/>
      </c>
      <c r="V62" s="128">
        <f>IF($A62="","",IF($D62="Basic",SUM(L62:R62)/35*100,SUMPRODUCT(L62:R62,XLOOKUP($B62,'Weighted Scoring'!$A$5:$A$13,'Weighted Scoring'!$I$5:$O$13))/SUMPRODUCT(5,XLOOKUP($B62,'Weighted Scoring'!$A$5:$A$13,'Weighted Scoring'!$I$5:$O$13))*100))</f>
        <v/>
      </c>
      <c r="W62" s="128">
        <f>IF($A62="","",V62-U62)</f>
        <v/>
      </c>
      <c r="X62" s="125">
        <f>IF($A62="","",IFS(W62&gt;=40,"Stable Orbit",W62&gt;=15,"Controlled Orbit",W62&gt;=-14,"Edge Orbit",W62&gt;=-39,"Unstable Orbit",TRUE,"Critical Orbit"))</f>
        <v/>
      </c>
      <c r="Y62" s="125">
        <f>IF($A62="","",XLOOKUP(X62,'Deployment Gates'!$A$5:$A$9,'Deployment Gates'!$C$5:$C$9))</f>
        <v/>
      </c>
      <c r="Z62" s="125" t="n"/>
      <c r="AA62" s="125">
        <f>IF($A62="","",IF(OR(X62="Edge Orbit",X62="Unstable Orbit",X62="Critical Orbit",H62&gt;=4,G62&gt;=4,E62&gt;=4,J62&gt;=4),"Yes","No"))</f>
        <v/>
      </c>
      <c r="AB62" s="125">
        <f>IF($A62="","",IF(W62&lt;0,"Yes","No"))</f>
        <v/>
      </c>
      <c r="AC62" s="125">
        <f>IF($A62="","",INDEX($L$4:$R$4,1,MATCH(MIN(L62:R62),L62:R62,0)))</f>
        <v/>
      </c>
      <c r="AD62" s="125">
        <f>IF($A62="","",INDEX($E$4:$K$4,1,MATCH(MAX(E62:K62),E62:K62,0)))</f>
        <v/>
      </c>
      <c r="AE62" s="125">
        <f>IF($A62="","",XLOOKUP(AC62,'Control Uplift Planner'!$A$5:$A$11,'Control Uplift Planner'!$B$5:$B$11))</f>
        <v/>
      </c>
      <c r="AF62" s="131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>
        <f>IF(AND(MAX(L63:R63)&gt;3,S63&lt;3),"Warning: EGI &gt;3 needs Tier 3+ evidence",IF(AND(C63="Autonomous Operations Zone",S63&lt;4),"Warning: Autonomous zone needs Tier 4 evidence","OK"))</f>
        <v/>
      </c>
      <c r="U63" s="128">
        <f>IF($A63="","",IF($D63="Basic",SUM(E63:K63)/35*100,SUMPRODUCT(E63:K63,XLOOKUP($B63,'Weighted Scoring'!$A$5:$A$13,'Weighted Scoring'!$B$5:$H$13))/SUMPRODUCT(5,XLOOKUP($B63,'Weighted Scoring'!$A$5:$A$13,'Weighted Scoring'!$B$5:$H$13))*100))</f>
        <v/>
      </c>
      <c r="V63" s="128">
        <f>IF($A63="","",IF($D63="Basic",SUM(L63:R63)/35*100,SUMPRODUCT(L63:R63,XLOOKUP($B63,'Weighted Scoring'!$A$5:$A$13,'Weighted Scoring'!$I$5:$O$13))/SUMPRODUCT(5,XLOOKUP($B63,'Weighted Scoring'!$A$5:$A$13,'Weighted Scoring'!$I$5:$O$13))*100))</f>
        <v/>
      </c>
      <c r="W63" s="128">
        <f>IF($A63="","",V63-U63)</f>
        <v/>
      </c>
      <c r="X63" s="125">
        <f>IF($A63="","",IFS(W63&gt;=40,"Stable Orbit",W63&gt;=15,"Controlled Orbit",W63&gt;=-14,"Edge Orbit",W63&gt;=-39,"Unstable Orbit",TRUE,"Critical Orbit"))</f>
        <v/>
      </c>
      <c r="Y63" s="125">
        <f>IF($A63="","",XLOOKUP(X63,'Deployment Gates'!$A$5:$A$9,'Deployment Gates'!$C$5:$C$9))</f>
        <v/>
      </c>
      <c r="Z63" s="125" t="n"/>
      <c r="AA63" s="125">
        <f>IF($A63="","",IF(OR(X63="Edge Orbit",X63="Unstable Orbit",X63="Critical Orbit",H63&gt;=4,G63&gt;=4,E63&gt;=4,J63&gt;=4),"Yes","No"))</f>
        <v/>
      </c>
      <c r="AB63" s="125">
        <f>IF($A63="","",IF(W63&lt;0,"Yes","No"))</f>
        <v/>
      </c>
      <c r="AC63" s="125">
        <f>IF($A63="","",INDEX($L$4:$R$4,1,MATCH(MIN(L63:R63),L63:R63,0)))</f>
        <v/>
      </c>
      <c r="AD63" s="125">
        <f>IF($A63="","",INDEX($E$4:$K$4,1,MATCH(MAX(E63:K63),E63:K63,0)))</f>
        <v/>
      </c>
      <c r="AE63" s="125">
        <f>IF($A63="","",XLOOKUP(AC63,'Control Uplift Planner'!$A$5:$A$11,'Control Uplift Planner'!$B$5:$B$11))</f>
        <v/>
      </c>
      <c r="AF63" s="131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>
        <f>IF(AND(MAX(L64:R64)&gt;3,S64&lt;3),"Warning: EGI &gt;3 needs Tier 3+ evidence",IF(AND(C64="Autonomous Operations Zone",S64&lt;4),"Warning: Autonomous zone needs Tier 4 evidence","OK"))</f>
        <v/>
      </c>
      <c r="U64" s="128">
        <f>IF($A64="","",IF($D64="Basic",SUM(E64:K64)/35*100,SUMPRODUCT(E64:K64,XLOOKUP($B64,'Weighted Scoring'!$A$5:$A$13,'Weighted Scoring'!$B$5:$H$13))/SUMPRODUCT(5,XLOOKUP($B64,'Weighted Scoring'!$A$5:$A$13,'Weighted Scoring'!$B$5:$H$13))*100))</f>
        <v/>
      </c>
      <c r="V64" s="128">
        <f>IF($A64="","",IF($D64="Basic",SUM(L64:R64)/35*100,SUMPRODUCT(L64:R64,XLOOKUP($B64,'Weighted Scoring'!$A$5:$A$13,'Weighted Scoring'!$I$5:$O$13))/SUMPRODUCT(5,XLOOKUP($B64,'Weighted Scoring'!$A$5:$A$13,'Weighted Scoring'!$I$5:$O$13))*100))</f>
        <v/>
      </c>
      <c r="W64" s="128">
        <f>IF($A64="","",V64-U64)</f>
        <v/>
      </c>
      <c r="X64" s="125">
        <f>IF($A64="","",IFS(W64&gt;=40,"Stable Orbit",W64&gt;=15,"Controlled Orbit",W64&gt;=-14,"Edge Orbit",W64&gt;=-39,"Unstable Orbit",TRUE,"Critical Orbit"))</f>
        <v/>
      </c>
      <c r="Y64" s="125">
        <f>IF($A64="","",XLOOKUP(X64,'Deployment Gates'!$A$5:$A$9,'Deployment Gates'!$C$5:$C$9))</f>
        <v/>
      </c>
      <c r="Z64" s="125" t="n"/>
      <c r="AA64" s="125">
        <f>IF($A64="","",IF(OR(X64="Edge Orbit",X64="Unstable Orbit",X64="Critical Orbit",H64&gt;=4,G64&gt;=4,E64&gt;=4,J64&gt;=4),"Yes","No"))</f>
        <v/>
      </c>
      <c r="AB64" s="125">
        <f>IF($A64="","",IF(W64&lt;0,"Yes","No"))</f>
        <v/>
      </c>
      <c r="AC64" s="125">
        <f>IF($A64="","",INDEX($L$4:$R$4,1,MATCH(MIN(L64:R64),L64:R64,0)))</f>
        <v/>
      </c>
      <c r="AD64" s="125">
        <f>IF($A64="","",INDEX($E$4:$K$4,1,MATCH(MAX(E64:K64),E64:K64,0)))</f>
        <v/>
      </c>
      <c r="AE64" s="125">
        <f>IF($A64="","",XLOOKUP(AC64,'Control Uplift Planner'!$A$5:$A$11,'Control Uplift Planner'!$B$5:$B$11))</f>
        <v/>
      </c>
      <c r="AF64" s="131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>
        <f>IF(AND(MAX(L65:R65)&gt;3,S65&lt;3),"Warning: EGI &gt;3 needs Tier 3+ evidence",IF(AND(C65="Autonomous Operations Zone",S65&lt;4),"Warning: Autonomous zone needs Tier 4 evidence","OK"))</f>
        <v/>
      </c>
      <c r="U65" s="128">
        <f>IF($A65="","",IF($D65="Basic",SUM(E65:K65)/35*100,SUMPRODUCT(E65:K65,XLOOKUP($B65,'Weighted Scoring'!$A$5:$A$13,'Weighted Scoring'!$B$5:$H$13))/SUMPRODUCT(5,XLOOKUP($B65,'Weighted Scoring'!$A$5:$A$13,'Weighted Scoring'!$B$5:$H$13))*100))</f>
        <v/>
      </c>
      <c r="V65" s="128">
        <f>IF($A65="","",IF($D65="Basic",SUM(L65:R65)/35*100,SUMPRODUCT(L65:R65,XLOOKUP($B65,'Weighted Scoring'!$A$5:$A$13,'Weighted Scoring'!$I$5:$O$13))/SUMPRODUCT(5,XLOOKUP($B65,'Weighted Scoring'!$A$5:$A$13,'Weighted Scoring'!$I$5:$O$13))*100))</f>
        <v/>
      </c>
      <c r="W65" s="128">
        <f>IF($A65="","",V65-U65)</f>
        <v/>
      </c>
      <c r="X65" s="125">
        <f>IF($A65="","",IFS(W65&gt;=40,"Stable Orbit",W65&gt;=15,"Controlled Orbit",W65&gt;=-14,"Edge Orbit",W65&gt;=-39,"Unstable Orbit",TRUE,"Critical Orbit"))</f>
        <v/>
      </c>
      <c r="Y65" s="125">
        <f>IF($A65="","",XLOOKUP(X65,'Deployment Gates'!$A$5:$A$9,'Deployment Gates'!$C$5:$C$9))</f>
        <v/>
      </c>
      <c r="Z65" s="125" t="n"/>
      <c r="AA65" s="125">
        <f>IF($A65="","",IF(OR(X65="Edge Orbit",X65="Unstable Orbit",X65="Critical Orbit",H65&gt;=4,G65&gt;=4,E65&gt;=4,J65&gt;=4),"Yes","No"))</f>
        <v/>
      </c>
      <c r="AB65" s="125">
        <f>IF($A65="","",IF(W65&lt;0,"Yes","No"))</f>
        <v/>
      </c>
      <c r="AC65" s="125">
        <f>IF($A65="","",INDEX($L$4:$R$4,1,MATCH(MIN(L65:R65),L65:R65,0)))</f>
        <v/>
      </c>
      <c r="AD65" s="125">
        <f>IF($A65="","",INDEX($E$4:$K$4,1,MATCH(MAX(E65:K65),E65:K65,0)))</f>
        <v/>
      </c>
      <c r="AE65" s="125">
        <f>IF($A65="","",XLOOKUP(AC65,'Control Uplift Planner'!$A$5:$A$11,'Control Uplift Planner'!$B$5:$B$11))</f>
        <v/>
      </c>
      <c r="AF65" s="131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>
        <f>IF(AND(MAX(L66:R66)&gt;3,S66&lt;3),"Warning: EGI &gt;3 needs Tier 3+ evidence",IF(AND(C66="Autonomous Operations Zone",S66&lt;4),"Warning: Autonomous zone needs Tier 4 evidence","OK"))</f>
        <v/>
      </c>
      <c r="U66" s="128">
        <f>IF($A66="","",IF($D66="Basic",SUM(E66:K66)/35*100,SUMPRODUCT(E66:K66,XLOOKUP($B66,'Weighted Scoring'!$A$5:$A$13,'Weighted Scoring'!$B$5:$H$13))/SUMPRODUCT(5,XLOOKUP($B66,'Weighted Scoring'!$A$5:$A$13,'Weighted Scoring'!$B$5:$H$13))*100))</f>
        <v/>
      </c>
      <c r="V66" s="128">
        <f>IF($A66="","",IF($D66="Basic",SUM(L66:R66)/35*100,SUMPRODUCT(L66:R66,XLOOKUP($B66,'Weighted Scoring'!$A$5:$A$13,'Weighted Scoring'!$I$5:$O$13))/SUMPRODUCT(5,XLOOKUP($B66,'Weighted Scoring'!$A$5:$A$13,'Weighted Scoring'!$I$5:$O$13))*100))</f>
        <v/>
      </c>
      <c r="W66" s="128">
        <f>IF($A66="","",V66-U66)</f>
        <v/>
      </c>
      <c r="X66" s="125">
        <f>IF($A66="","",IFS(W66&gt;=40,"Stable Orbit",W66&gt;=15,"Controlled Orbit",W66&gt;=-14,"Edge Orbit",W66&gt;=-39,"Unstable Orbit",TRUE,"Critical Orbit"))</f>
        <v/>
      </c>
      <c r="Y66" s="125">
        <f>IF($A66="","",XLOOKUP(X66,'Deployment Gates'!$A$5:$A$9,'Deployment Gates'!$C$5:$C$9))</f>
        <v/>
      </c>
      <c r="Z66" s="125" t="n"/>
      <c r="AA66" s="125">
        <f>IF($A66="","",IF(OR(X66="Edge Orbit",X66="Unstable Orbit",X66="Critical Orbit",H66&gt;=4,G66&gt;=4,E66&gt;=4,J66&gt;=4),"Yes","No"))</f>
        <v/>
      </c>
      <c r="AB66" s="125">
        <f>IF($A66="","",IF(W66&lt;0,"Yes","No"))</f>
        <v/>
      </c>
      <c r="AC66" s="125">
        <f>IF($A66="","",INDEX($L$4:$R$4,1,MATCH(MIN(L66:R66),L66:R66,0)))</f>
        <v/>
      </c>
      <c r="AD66" s="125">
        <f>IF($A66="","",INDEX($E$4:$K$4,1,MATCH(MAX(E66:K66),E66:K66,0)))</f>
        <v/>
      </c>
      <c r="AE66" s="125">
        <f>IF($A66="","",XLOOKUP(AC66,'Control Uplift Planner'!$A$5:$A$11,'Control Uplift Planner'!$B$5:$B$11))</f>
        <v/>
      </c>
      <c r="AF66" s="131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>
        <f>IF(AND(MAX(L67:R67)&gt;3,S67&lt;3),"Warning: EGI &gt;3 needs Tier 3+ evidence",IF(AND(C67="Autonomous Operations Zone",S67&lt;4),"Warning: Autonomous zone needs Tier 4 evidence","OK"))</f>
        <v/>
      </c>
      <c r="U67" s="128">
        <f>IF($A67="","",IF($D67="Basic",SUM(E67:K67)/35*100,SUMPRODUCT(E67:K67,XLOOKUP($B67,'Weighted Scoring'!$A$5:$A$13,'Weighted Scoring'!$B$5:$H$13))/SUMPRODUCT(5,XLOOKUP($B67,'Weighted Scoring'!$A$5:$A$13,'Weighted Scoring'!$B$5:$H$13))*100))</f>
        <v/>
      </c>
      <c r="V67" s="128">
        <f>IF($A67="","",IF($D67="Basic",SUM(L67:R67)/35*100,SUMPRODUCT(L67:R67,XLOOKUP($B67,'Weighted Scoring'!$A$5:$A$13,'Weighted Scoring'!$I$5:$O$13))/SUMPRODUCT(5,XLOOKUP($B67,'Weighted Scoring'!$A$5:$A$13,'Weighted Scoring'!$I$5:$O$13))*100))</f>
        <v/>
      </c>
      <c r="W67" s="128">
        <f>IF($A67="","",V67-U67)</f>
        <v/>
      </c>
      <c r="X67" s="125">
        <f>IF($A67="","",IFS(W67&gt;=40,"Stable Orbit",W67&gt;=15,"Controlled Orbit",W67&gt;=-14,"Edge Orbit",W67&gt;=-39,"Unstable Orbit",TRUE,"Critical Orbit"))</f>
        <v/>
      </c>
      <c r="Y67" s="125">
        <f>IF($A67="","",XLOOKUP(X67,'Deployment Gates'!$A$5:$A$9,'Deployment Gates'!$C$5:$C$9))</f>
        <v/>
      </c>
      <c r="Z67" s="125" t="n"/>
      <c r="AA67" s="125">
        <f>IF($A67="","",IF(OR(X67="Edge Orbit",X67="Unstable Orbit",X67="Critical Orbit",H67&gt;=4,G67&gt;=4,E67&gt;=4,J67&gt;=4),"Yes","No"))</f>
        <v/>
      </c>
      <c r="AB67" s="125">
        <f>IF($A67="","",IF(W67&lt;0,"Yes","No"))</f>
        <v/>
      </c>
      <c r="AC67" s="125">
        <f>IF($A67="","",INDEX($L$4:$R$4,1,MATCH(MIN(L67:R67),L67:R67,0)))</f>
        <v/>
      </c>
      <c r="AD67" s="125">
        <f>IF($A67="","",INDEX($E$4:$K$4,1,MATCH(MAX(E67:K67),E67:K67,0)))</f>
        <v/>
      </c>
      <c r="AE67" s="125">
        <f>IF($A67="","",XLOOKUP(AC67,'Control Uplift Planner'!$A$5:$A$11,'Control Uplift Planner'!$B$5:$B$11))</f>
        <v/>
      </c>
      <c r="AF67" s="131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>
        <f>IF(AND(MAX(L68:R68)&gt;3,S68&lt;3),"Warning: EGI &gt;3 needs Tier 3+ evidence",IF(AND(C68="Autonomous Operations Zone",S68&lt;4),"Warning: Autonomous zone needs Tier 4 evidence","OK"))</f>
        <v/>
      </c>
      <c r="U68" s="128">
        <f>IF($A68="","",IF($D68="Basic",SUM(E68:K68)/35*100,SUMPRODUCT(E68:K68,XLOOKUP($B68,'Weighted Scoring'!$A$5:$A$13,'Weighted Scoring'!$B$5:$H$13))/SUMPRODUCT(5,XLOOKUP($B68,'Weighted Scoring'!$A$5:$A$13,'Weighted Scoring'!$B$5:$H$13))*100))</f>
        <v/>
      </c>
      <c r="V68" s="128">
        <f>IF($A68="","",IF($D68="Basic",SUM(L68:R68)/35*100,SUMPRODUCT(L68:R68,XLOOKUP($B68,'Weighted Scoring'!$A$5:$A$13,'Weighted Scoring'!$I$5:$O$13))/SUMPRODUCT(5,XLOOKUP($B68,'Weighted Scoring'!$A$5:$A$13,'Weighted Scoring'!$I$5:$O$13))*100))</f>
        <v/>
      </c>
      <c r="W68" s="128">
        <f>IF($A68="","",V68-U68)</f>
        <v/>
      </c>
      <c r="X68" s="125">
        <f>IF($A68="","",IFS(W68&gt;=40,"Stable Orbit",W68&gt;=15,"Controlled Orbit",W68&gt;=-14,"Edge Orbit",W68&gt;=-39,"Unstable Orbit",TRUE,"Critical Orbit"))</f>
        <v/>
      </c>
      <c r="Y68" s="125">
        <f>IF($A68="","",XLOOKUP(X68,'Deployment Gates'!$A$5:$A$9,'Deployment Gates'!$C$5:$C$9))</f>
        <v/>
      </c>
      <c r="Z68" s="125" t="n"/>
      <c r="AA68" s="125">
        <f>IF($A68="","",IF(OR(X68="Edge Orbit",X68="Unstable Orbit",X68="Critical Orbit",H68&gt;=4,G68&gt;=4,E68&gt;=4,J68&gt;=4),"Yes","No"))</f>
        <v/>
      </c>
      <c r="AB68" s="125">
        <f>IF($A68="","",IF(W68&lt;0,"Yes","No"))</f>
        <v/>
      </c>
      <c r="AC68" s="125">
        <f>IF($A68="","",INDEX($L$4:$R$4,1,MATCH(MIN(L68:R68),L68:R68,0)))</f>
        <v/>
      </c>
      <c r="AD68" s="125">
        <f>IF($A68="","",INDEX($E$4:$K$4,1,MATCH(MAX(E68:K68),E68:K68,0)))</f>
        <v/>
      </c>
      <c r="AE68" s="125">
        <f>IF($A68="","",XLOOKUP(AC68,'Control Uplift Planner'!$A$5:$A$11,'Control Uplift Planner'!$B$5:$B$11))</f>
        <v/>
      </c>
      <c r="AF68" s="131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>
        <f>IF(AND(MAX(L69:R69)&gt;3,S69&lt;3),"Warning: EGI &gt;3 needs Tier 3+ evidence",IF(AND(C69="Autonomous Operations Zone",S69&lt;4),"Warning: Autonomous zone needs Tier 4 evidence","OK"))</f>
        <v/>
      </c>
      <c r="U69" s="128">
        <f>IF($A69="","",IF($D69="Basic",SUM(E69:K69)/35*100,SUMPRODUCT(E69:K69,XLOOKUP($B69,'Weighted Scoring'!$A$5:$A$13,'Weighted Scoring'!$B$5:$H$13))/SUMPRODUCT(5,XLOOKUP($B69,'Weighted Scoring'!$A$5:$A$13,'Weighted Scoring'!$B$5:$H$13))*100))</f>
        <v/>
      </c>
      <c r="V69" s="128">
        <f>IF($A69="","",IF($D69="Basic",SUM(L69:R69)/35*100,SUMPRODUCT(L69:R69,XLOOKUP($B69,'Weighted Scoring'!$A$5:$A$13,'Weighted Scoring'!$I$5:$O$13))/SUMPRODUCT(5,XLOOKUP($B69,'Weighted Scoring'!$A$5:$A$13,'Weighted Scoring'!$I$5:$O$13))*100))</f>
        <v/>
      </c>
      <c r="W69" s="128">
        <f>IF($A69="","",V69-U69)</f>
        <v/>
      </c>
      <c r="X69" s="125">
        <f>IF($A69="","",IFS(W69&gt;=40,"Stable Orbit",W69&gt;=15,"Controlled Orbit",W69&gt;=-14,"Edge Orbit",W69&gt;=-39,"Unstable Orbit",TRUE,"Critical Orbit"))</f>
        <v/>
      </c>
      <c r="Y69" s="125">
        <f>IF($A69="","",XLOOKUP(X69,'Deployment Gates'!$A$5:$A$9,'Deployment Gates'!$C$5:$C$9))</f>
        <v/>
      </c>
      <c r="Z69" s="125" t="n"/>
      <c r="AA69" s="125">
        <f>IF($A69="","",IF(OR(X69="Edge Orbit",X69="Unstable Orbit",X69="Critical Orbit",H69&gt;=4,G69&gt;=4,E69&gt;=4,J69&gt;=4),"Yes","No"))</f>
        <v/>
      </c>
      <c r="AB69" s="125">
        <f>IF($A69="","",IF(W69&lt;0,"Yes","No"))</f>
        <v/>
      </c>
      <c r="AC69" s="125">
        <f>IF($A69="","",INDEX($L$4:$R$4,1,MATCH(MIN(L69:R69),L69:R69,0)))</f>
        <v/>
      </c>
      <c r="AD69" s="125">
        <f>IF($A69="","",INDEX($E$4:$K$4,1,MATCH(MAX(E69:K69),E69:K69,0)))</f>
        <v/>
      </c>
      <c r="AE69" s="125">
        <f>IF($A69="","",XLOOKUP(AC69,'Control Uplift Planner'!$A$5:$A$11,'Control Uplift Planner'!$B$5:$B$11))</f>
        <v/>
      </c>
      <c r="AF69" s="131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>
        <f>IF(AND(MAX(L70:R70)&gt;3,S70&lt;3),"Warning: EGI &gt;3 needs Tier 3+ evidence",IF(AND(C70="Autonomous Operations Zone",S70&lt;4),"Warning: Autonomous zone needs Tier 4 evidence","OK"))</f>
        <v/>
      </c>
      <c r="U70" s="128">
        <f>IF($A70="","",IF($D70="Basic",SUM(E70:K70)/35*100,SUMPRODUCT(E70:K70,XLOOKUP($B70,'Weighted Scoring'!$A$5:$A$13,'Weighted Scoring'!$B$5:$H$13))/SUMPRODUCT(5,XLOOKUP($B70,'Weighted Scoring'!$A$5:$A$13,'Weighted Scoring'!$B$5:$H$13))*100))</f>
        <v/>
      </c>
      <c r="V70" s="128">
        <f>IF($A70="","",IF($D70="Basic",SUM(L70:R70)/35*100,SUMPRODUCT(L70:R70,XLOOKUP($B70,'Weighted Scoring'!$A$5:$A$13,'Weighted Scoring'!$I$5:$O$13))/SUMPRODUCT(5,XLOOKUP($B70,'Weighted Scoring'!$A$5:$A$13,'Weighted Scoring'!$I$5:$O$13))*100))</f>
        <v/>
      </c>
      <c r="W70" s="128">
        <f>IF($A70="","",V70-U70)</f>
        <v/>
      </c>
      <c r="X70" s="125">
        <f>IF($A70="","",IFS(W70&gt;=40,"Stable Orbit",W70&gt;=15,"Controlled Orbit",W70&gt;=-14,"Edge Orbit",W70&gt;=-39,"Unstable Orbit",TRUE,"Critical Orbit"))</f>
        <v/>
      </c>
      <c r="Y70" s="125">
        <f>IF($A70="","",XLOOKUP(X70,'Deployment Gates'!$A$5:$A$9,'Deployment Gates'!$C$5:$C$9))</f>
        <v/>
      </c>
      <c r="Z70" s="125" t="n"/>
      <c r="AA70" s="125">
        <f>IF($A70="","",IF(OR(X70="Edge Orbit",X70="Unstable Orbit",X70="Critical Orbit",H70&gt;=4,G70&gt;=4,E70&gt;=4,J70&gt;=4),"Yes","No"))</f>
        <v/>
      </c>
      <c r="AB70" s="125">
        <f>IF($A70="","",IF(W70&lt;0,"Yes","No"))</f>
        <v/>
      </c>
      <c r="AC70" s="125">
        <f>IF($A70="","",INDEX($L$4:$R$4,1,MATCH(MIN(L70:R70),L70:R70,0)))</f>
        <v/>
      </c>
      <c r="AD70" s="125">
        <f>IF($A70="","",INDEX($E$4:$K$4,1,MATCH(MAX(E70:K70),E70:K70,0)))</f>
        <v/>
      </c>
      <c r="AE70" s="125">
        <f>IF($A70="","",XLOOKUP(AC70,'Control Uplift Planner'!$A$5:$A$11,'Control Uplift Planner'!$B$5:$B$11))</f>
        <v/>
      </c>
      <c r="AF70" s="131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>
        <f>IF(AND(MAX(L71:R71)&gt;3,S71&lt;3),"Warning: EGI &gt;3 needs Tier 3+ evidence",IF(AND(C71="Autonomous Operations Zone",S71&lt;4),"Warning: Autonomous zone needs Tier 4 evidence","OK"))</f>
        <v/>
      </c>
      <c r="U71" s="128">
        <f>IF($A71="","",IF($D71="Basic",SUM(E71:K71)/35*100,SUMPRODUCT(E71:K71,XLOOKUP($B71,'Weighted Scoring'!$A$5:$A$13,'Weighted Scoring'!$B$5:$H$13))/SUMPRODUCT(5,XLOOKUP($B71,'Weighted Scoring'!$A$5:$A$13,'Weighted Scoring'!$B$5:$H$13))*100))</f>
        <v/>
      </c>
      <c r="V71" s="128">
        <f>IF($A71="","",IF($D71="Basic",SUM(L71:R71)/35*100,SUMPRODUCT(L71:R71,XLOOKUP($B71,'Weighted Scoring'!$A$5:$A$13,'Weighted Scoring'!$I$5:$O$13))/SUMPRODUCT(5,XLOOKUP($B71,'Weighted Scoring'!$A$5:$A$13,'Weighted Scoring'!$I$5:$O$13))*100))</f>
        <v/>
      </c>
      <c r="W71" s="128">
        <f>IF($A71="","",V71-U71)</f>
        <v/>
      </c>
      <c r="X71" s="125">
        <f>IF($A71="","",IFS(W71&gt;=40,"Stable Orbit",W71&gt;=15,"Controlled Orbit",W71&gt;=-14,"Edge Orbit",W71&gt;=-39,"Unstable Orbit",TRUE,"Critical Orbit"))</f>
        <v/>
      </c>
      <c r="Y71" s="125">
        <f>IF($A71="","",XLOOKUP(X71,'Deployment Gates'!$A$5:$A$9,'Deployment Gates'!$C$5:$C$9))</f>
        <v/>
      </c>
      <c r="Z71" s="125" t="n"/>
      <c r="AA71" s="125">
        <f>IF($A71="","",IF(OR(X71="Edge Orbit",X71="Unstable Orbit",X71="Critical Orbit",H71&gt;=4,G71&gt;=4,E71&gt;=4,J71&gt;=4),"Yes","No"))</f>
        <v/>
      </c>
      <c r="AB71" s="125">
        <f>IF($A71="","",IF(W71&lt;0,"Yes","No"))</f>
        <v/>
      </c>
      <c r="AC71" s="125">
        <f>IF($A71="","",INDEX($L$4:$R$4,1,MATCH(MIN(L71:R71),L71:R71,0)))</f>
        <v/>
      </c>
      <c r="AD71" s="125">
        <f>IF($A71="","",INDEX($E$4:$K$4,1,MATCH(MAX(E71:K71),E71:K71,0)))</f>
        <v/>
      </c>
      <c r="AE71" s="125">
        <f>IF($A71="","",XLOOKUP(AC71,'Control Uplift Planner'!$A$5:$A$11,'Control Uplift Planner'!$B$5:$B$11))</f>
        <v/>
      </c>
      <c r="AF71" s="131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>
        <f>IF(AND(MAX(L72:R72)&gt;3,S72&lt;3),"Warning: EGI &gt;3 needs Tier 3+ evidence",IF(AND(C72="Autonomous Operations Zone",S72&lt;4),"Warning: Autonomous zone needs Tier 4 evidence","OK"))</f>
        <v/>
      </c>
      <c r="U72" s="128">
        <f>IF($A72="","",IF($D72="Basic",SUM(E72:K72)/35*100,SUMPRODUCT(E72:K72,XLOOKUP($B72,'Weighted Scoring'!$A$5:$A$13,'Weighted Scoring'!$B$5:$H$13))/SUMPRODUCT(5,XLOOKUP($B72,'Weighted Scoring'!$A$5:$A$13,'Weighted Scoring'!$B$5:$H$13))*100))</f>
        <v/>
      </c>
      <c r="V72" s="128">
        <f>IF($A72="","",IF($D72="Basic",SUM(L72:R72)/35*100,SUMPRODUCT(L72:R72,XLOOKUP($B72,'Weighted Scoring'!$A$5:$A$13,'Weighted Scoring'!$I$5:$O$13))/SUMPRODUCT(5,XLOOKUP($B72,'Weighted Scoring'!$A$5:$A$13,'Weighted Scoring'!$I$5:$O$13))*100))</f>
        <v/>
      </c>
      <c r="W72" s="128">
        <f>IF($A72="","",V72-U72)</f>
        <v/>
      </c>
      <c r="X72" s="125">
        <f>IF($A72="","",IFS(W72&gt;=40,"Stable Orbit",W72&gt;=15,"Controlled Orbit",W72&gt;=-14,"Edge Orbit",W72&gt;=-39,"Unstable Orbit",TRUE,"Critical Orbit"))</f>
        <v/>
      </c>
      <c r="Y72" s="125">
        <f>IF($A72="","",XLOOKUP(X72,'Deployment Gates'!$A$5:$A$9,'Deployment Gates'!$C$5:$C$9))</f>
        <v/>
      </c>
      <c r="Z72" s="125" t="n"/>
      <c r="AA72" s="125">
        <f>IF($A72="","",IF(OR(X72="Edge Orbit",X72="Unstable Orbit",X72="Critical Orbit",H72&gt;=4,G72&gt;=4,E72&gt;=4,J72&gt;=4),"Yes","No"))</f>
        <v/>
      </c>
      <c r="AB72" s="125">
        <f>IF($A72="","",IF(W72&lt;0,"Yes","No"))</f>
        <v/>
      </c>
      <c r="AC72" s="125">
        <f>IF($A72="","",INDEX($L$4:$R$4,1,MATCH(MIN(L72:R72),L72:R72,0)))</f>
        <v/>
      </c>
      <c r="AD72" s="125">
        <f>IF($A72="","",INDEX($E$4:$K$4,1,MATCH(MAX(E72:K72),E72:K72,0)))</f>
        <v/>
      </c>
      <c r="AE72" s="125">
        <f>IF($A72="","",XLOOKUP(AC72,'Control Uplift Planner'!$A$5:$A$11,'Control Uplift Planner'!$B$5:$B$11))</f>
        <v/>
      </c>
      <c r="AF72" s="131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>
        <f>IF(AND(MAX(L73:R73)&gt;3,S73&lt;3),"Warning: EGI &gt;3 needs Tier 3+ evidence",IF(AND(C73="Autonomous Operations Zone",S73&lt;4),"Warning: Autonomous zone needs Tier 4 evidence","OK"))</f>
        <v/>
      </c>
      <c r="U73" s="128">
        <f>IF($A73="","",IF($D73="Basic",SUM(E73:K73)/35*100,SUMPRODUCT(E73:K73,XLOOKUP($B73,'Weighted Scoring'!$A$5:$A$13,'Weighted Scoring'!$B$5:$H$13))/SUMPRODUCT(5,XLOOKUP($B73,'Weighted Scoring'!$A$5:$A$13,'Weighted Scoring'!$B$5:$H$13))*100))</f>
        <v/>
      </c>
      <c r="V73" s="128">
        <f>IF($A73="","",IF($D73="Basic",SUM(L73:R73)/35*100,SUMPRODUCT(L73:R73,XLOOKUP($B73,'Weighted Scoring'!$A$5:$A$13,'Weighted Scoring'!$I$5:$O$13))/SUMPRODUCT(5,XLOOKUP($B73,'Weighted Scoring'!$A$5:$A$13,'Weighted Scoring'!$I$5:$O$13))*100))</f>
        <v/>
      </c>
      <c r="W73" s="128">
        <f>IF($A73="","",V73-U73)</f>
        <v/>
      </c>
      <c r="X73" s="125">
        <f>IF($A73="","",IFS(W73&gt;=40,"Stable Orbit",W73&gt;=15,"Controlled Orbit",W73&gt;=-14,"Edge Orbit",W73&gt;=-39,"Unstable Orbit",TRUE,"Critical Orbit"))</f>
        <v/>
      </c>
      <c r="Y73" s="125">
        <f>IF($A73="","",XLOOKUP(X73,'Deployment Gates'!$A$5:$A$9,'Deployment Gates'!$C$5:$C$9))</f>
        <v/>
      </c>
      <c r="Z73" s="125" t="n"/>
      <c r="AA73" s="125">
        <f>IF($A73="","",IF(OR(X73="Edge Orbit",X73="Unstable Orbit",X73="Critical Orbit",H73&gt;=4,G73&gt;=4,E73&gt;=4,J73&gt;=4),"Yes","No"))</f>
        <v/>
      </c>
      <c r="AB73" s="125">
        <f>IF($A73="","",IF(W73&lt;0,"Yes","No"))</f>
        <v/>
      </c>
      <c r="AC73" s="125">
        <f>IF($A73="","",INDEX($L$4:$R$4,1,MATCH(MIN(L73:R73),L73:R73,0)))</f>
        <v/>
      </c>
      <c r="AD73" s="125">
        <f>IF($A73="","",INDEX($E$4:$K$4,1,MATCH(MAX(E73:K73),E73:K73,0)))</f>
        <v/>
      </c>
      <c r="AE73" s="125">
        <f>IF($A73="","",XLOOKUP(AC73,'Control Uplift Planner'!$A$5:$A$11,'Control Uplift Planner'!$B$5:$B$11))</f>
        <v/>
      </c>
      <c r="AF73" s="131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>
        <f>IF(AND(MAX(L74:R74)&gt;3,S74&lt;3),"Warning: EGI &gt;3 needs Tier 3+ evidence",IF(AND(C74="Autonomous Operations Zone",S74&lt;4),"Warning: Autonomous zone needs Tier 4 evidence","OK"))</f>
        <v/>
      </c>
      <c r="U74" s="128">
        <f>IF($A74="","",IF($D74="Basic",SUM(E74:K74)/35*100,SUMPRODUCT(E74:K74,XLOOKUP($B74,'Weighted Scoring'!$A$5:$A$13,'Weighted Scoring'!$B$5:$H$13))/SUMPRODUCT(5,XLOOKUP($B74,'Weighted Scoring'!$A$5:$A$13,'Weighted Scoring'!$B$5:$H$13))*100))</f>
        <v/>
      </c>
      <c r="V74" s="128">
        <f>IF($A74="","",IF($D74="Basic",SUM(L74:R74)/35*100,SUMPRODUCT(L74:R74,XLOOKUP($B74,'Weighted Scoring'!$A$5:$A$13,'Weighted Scoring'!$I$5:$O$13))/SUMPRODUCT(5,XLOOKUP($B74,'Weighted Scoring'!$A$5:$A$13,'Weighted Scoring'!$I$5:$O$13))*100))</f>
        <v/>
      </c>
      <c r="W74" s="128">
        <f>IF($A74="","",V74-U74)</f>
        <v/>
      </c>
      <c r="X74" s="125">
        <f>IF($A74="","",IFS(W74&gt;=40,"Stable Orbit",W74&gt;=15,"Controlled Orbit",W74&gt;=-14,"Edge Orbit",W74&gt;=-39,"Unstable Orbit",TRUE,"Critical Orbit"))</f>
        <v/>
      </c>
      <c r="Y74" s="125">
        <f>IF($A74="","",XLOOKUP(X74,'Deployment Gates'!$A$5:$A$9,'Deployment Gates'!$C$5:$C$9))</f>
        <v/>
      </c>
      <c r="Z74" s="125" t="n"/>
      <c r="AA74" s="125">
        <f>IF($A74="","",IF(OR(X74="Edge Orbit",X74="Unstable Orbit",X74="Critical Orbit",H74&gt;=4,G74&gt;=4,E74&gt;=4,J74&gt;=4),"Yes","No"))</f>
        <v/>
      </c>
      <c r="AB74" s="125">
        <f>IF($A74="","",IF(W74&lt;0,"Yes","No"))</f>
        <v/>
      </c>
      <c r="AC74" s="125">
        <f>IF($A74="","",INDEX($L$4:$R$4,1,MATCH(MIN(L74:R74),L74:R74,0)))</f>
        <v/>
      </c>
      <c r="AD74" s="125">
        <f>IF($A74="","",INDEX($E$4:$K$4,1,MATCH(MAX(E74:K74),E74:K74,0)))</f>
        <v/>
      </c>
      <c r="AE74" s="125">
        <f>IF($A74="","",XLOOKUP(AC74,'Control Uplift Planner'!$A$5:$A$11,'Control Uplift Planner'!$B$5:$B$11))</f>
        <v/>
      </c>
      <c r="AF74" s="131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>
        <f>IF(AND(MAX(L75:R75)&gt;3,S75&lt;3),"Warning: EGI &gt;3 needs Tier 3+ evidence",IF(AND(C75="Autonomous Operations Zone",S75&lt;4),"Warning: Autonomous zone needs Tier 4 evidence","OK"))</f>
        <v/>
      </c>
      <c r="U75" s="128">
        <f>IF($A75="","",IF($D75="Basic",SUM(E75:K75)/35*100,SUMPRODUCT(E75:K75,XLOOKUP($B75,'Weighted Scoring'!$A$5:$A$13,'Weighted Scoring'!$B$5:$H$13))/SUMPRODUCT(5,XLOOKUP($B75,'Weighted Scoring'!$A$5:$A$13,'Weighted Scoring'!$B$5:$H$13))*100))</f>
        <v/>
      </c>
      <c r="V75" s="128">
        <f>IF($A75="","",IF($D75="Basic",SUM(L75:R75)/35*100,SUMPRODUCT(L75:R75,XLOOKUP($B75,'Weighted Scoring'!$A$5:$A$13,'Weighted Scoring'!$I$5:$O$13))/SUMPRODUCT(5,XLOOKUP($B75,'Weighted Scoring'!$A$5:$A$13,'Weighted Scoring'!$I$5:$O$13))*100))</f>
        <v/>
      </c>
      <c r="W75" s="128">
        <f>IF($A75="","",V75-U75)</f>
        <v/>
      </c>
      <c r="X75" s="125">
        <f>IF($A75="","",IFS(W75&gt;=40,"Stable Orbit",W75&gt;=15,"Controlled Orbit",W75&gt;=-14,"Edge Orbit",W75&gt;=-39,"Unstable Orbit",TRUE,"Critical Orbit"))</f>
        <v/>
      </c>
      <c r="Y75" s="125">
        <f>IF($A75="","",XLOOKUP(X75,'Deployment Gates'!$A$5:$A$9,'Deployment Gates'!$C$5:$C$9))</f>
        <v/>
      </c>
      <c r="Z75" s="125" t="n"/>
      <c r="AA75" s="125">
        <f>IF($A75="","",IF(OR(X75="Edge Orbit",X75="Unstable Orbit",X75="Critical Orbit",H75&gt;=4,G75&gt;=4,E75&gt;=4,J75&gt;=4),"Yes","No"))</f>
        <v/>
      </c>
      <c r="AB75" s="125">
        <f>IF($A75="","",IF(W75&lt;0,"Yes","No"))</f>
        <v/>
      </c>
      <c r="AC75" s="125">
        <f>IF($A75="","",INDEX($L$4:$R$4,1,MATCH(MIN(L75:R75),L75:R75,0)))</f>
        <v/>
      </c>
      <c r="AD75" s="125">
        <f>IF($A75="","",INDEX($E$4:$K$4,1,MATCH(MAX(E75:K75),E75:K75,0)))</f>
        <v/>
      </c>
      <c r="AE75" s="125">
        <f>IF($A75="","",XLOOKUP(AC75,'Control Uplift Planner'!$A$5:$A$11,'Control Uplift Planner'!$B$5:$B$11))</f>
        <v/>
      </c>
      <c r="AF75" s="131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>
        <f>IF(AND(MAX(L76:R76)&gt;3,S76&lt;3),"Warning: EGI &gt;3 needs Tier 3+ evidence",IF(AND(C76="Autonomous Operations Zone",S76&lt;4),"Warning: Autonomous zone needs Tier 4 evidence","OK"))</f>
        <v/>
      </c>
      <c r="U76" s="128">
        <f>IF($A76="","",IF($D76="Basic",SUM(E76:K76)/35*100,SUMPRODUCT(E76:K76,XLOOKUP($B76,'Weighted Scoring'!$A$5:$A$13,'Weighted Scoring'!$B$5:$H$13))/SUMPRODUCT(5,XLOOKUP($B76,'Weighted Scoring'!$A$5:$A$13,'Weighted Scoring'!$B$5:$H$13))*100))</f>
        <v/>
      </c>
      <c r="V76" s="128">
        <f>IF($A76="","",IF($D76="Basic",SUM(L76:R76)/35*100,SUMPRODUCT(L76:R76,XLOOKUP($B76,'Weighted Scoring'!$A$5:$A$13,'Weighted Scoring'!$I$5:$O$13))/SUMPRODUCT(5,XLOOKUP($B76,'Weighted Scoring'!$A$5:$A$13,'Weighted Scoring'!$I$5:$O$13))*100))</f>
        <v/>
      </c>
      <c r="W76" s="128">
        <f>IF($A76="","",V76-U76)</f>
        <v/>
      </c>
      <c r="X76" s="125">
        <f>IF($A76="","",IFS(W76&gt;=40,"Stable Orbit",W76&gt;=15,"Controlled Orbit",W76&gt;=-14,"Edge Orbit",W76&gt;=-39,"Unstable Orbit",TRUE,"Critical Orbit"))</f>
        <v/>
      </c>
      <c r="Y76" s="125">
        <f>IF($A76="","",XLOOKUP(X76,'Deployment Gates'!$A$5:$A$9,'Deployment Gates'!$C$5:$C$9))</f>
        <v/>
      </c>
      <c r="Z76" s="125" t="n"/>
      <c r="AA76" s="125">
        <f>IF($A76="","",IF(OR(X76="Edge Orbit",X76="Unstable Orbit",X76="Critical Orbit",H76&gt;=4,G76&gt;=4,E76&gt;=4,J76&gt;=4),"Yes","No"))</f>
        <v/>
      </c>
      <c r="AB76" s="125">
        <f>IF($A76="","",IF(W76&lt;0,"Yes","No"))</f>
        <v/>
      </c>
      <c r="AC76" s="125">
        <f>IF($A76="","",INDEX($L$4:$R$4,1,MATCH(MIN(L76:R76),L76:R76,0)))</f>
        <v/>
      </c>
      <c r="AD76" s="125">
        <f>IF($A76="","",INDEX($E$4:$K$4,1,MATCH(MAX(E76:K76),E76:K76,0)))</f>
        <v/>
      </c>
      <c r="AE76" s="125">
        <f>IF($A76="","",XLOOKUP(AC76,'Control Uplift Planner'!$A$5:$A$11,'Control Uplift Planner'!$B$5:$B$11))</f>
        <v/>
      </c>
      <c r="AF76" s="131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>
        <f>IF(AND(MAX(L77:R77)&gt;3,S77&lt;3),"Warning: EGI &gt;3 needs Tier 3+ evidence",IF(AND(C77="Autonomous Operations Zone",S77&lt;4),"Warning: Autonomous zone needs Tier 4 evidence","OK"))</f>
        <v/>
      </c>
      <c r="U77" s="128">
        <f>IF($A77="","",IF($D77="Basic",SUM(E77:K77)/35*100,SUMPRODUCT(E77:K77,XLOOKUP($B77,'Weighted Scoring'!$A$5:$A$13,'Weighted Scoring'!$B$5:$H$13))/SUMPRODUCT(5,XLOOKUP($B77,'Weighted Scoring'!$A$5:$A$13,'Weighted Scoring'!$B$5:$H$13))*100))</f>
        <v/>
      </c>
      <c r="V77" s="128">
        <f>IF($A77="","",IF($D77="Basic",SUM(L77:R77)/35*100,SUMPRODUCT(L77:R77,XLOOKUP($B77,'Weighted Scoring'!$A$5:$A$13,'Weighted Scoring'!$I$5:$O$13))/SUMPRODUCT(5,XLOOKUP($B77,'Weighted Scoring'!$A$5:$A$13,'Weighted Scoring'!$I$5:$O$13))*100))</f>
        <v/>
      </c>
      <c r="W77" s="128">
        <f>IF($A77="","",V77-U77)</f>
        <v/>
      </c>
      <c r="X77" s="125">
        <f>IF($A77="","",IFS(W77&gt;=40,"Stable Orbit",W77&gt;=15,"Controlled Orbit",W77&gt;=-14,"Edge Orbit",W77&gt;=-39,"Unstable Orbit",TRUE,"Critical Orbit"))</f>
        <v/>
      </c>
      <c r="Y77" s="125">
        <f>IF($A77="","",XLOOKUP(X77,'Deployment Gates'!$A$5:$A$9,'Deployment Gates'!$C$5:$C$9))</f>
        <v/>
      </c>
      <c r="Z77" s="125" t="n"/>
      <c r="AA77" s="125">
        <f>IF($A77="","",IF(OR(X77="Edge Orbit",X77="Unstable Orbit",X77="Critical Orbit",H77&gt;=4,G77&gt;=4,E77&gt;=4,J77&gt;=4),"Yes","No"))</f>
        <v/>
      </c>
      <c r="AB77" s="125">
        <f>IF($A77="","",IF(W77&lt;0,"Yes","No"))</f>
        <v/>
      </c>
      <c r="AC77" s="125">
        <f>IF($A77="","",INDEX($L$4:$R$4,1,MATCH(MIN(L77:R77),L77:R77,0)))</f>
        <v/>
      </c>
      <c r="AD77" s="125">
        <f>IF($A77="","",INDEX($E$4:$K$4,1,MATCH(MAX(E77:K77),E77:K77,0)))</f>
        <v/>
      </c>
      <c r="AE77" s="125">
        <f>IF($A77="","",XLOOKUP(AC77,'Control Uplift Planner'!$A$5:$A$11,'Control Uplift Planner'!$B$5:$B$11))</f>
        <v/>
      </c>
      <c r="AF77" s="131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>
        <f>IF(AND(MAX(L78:R78)&gt;3,S78&lt;3),"Warning: EGI &gt;3 needs Tier 3+ evidence",IF(AND(C78="Autonomous Operations Zone",S78&lt;4),"Warning: Autonomous zone needs Tier 4 evidence","OK"))</f>
        <v/>
      </c>
      <c r="U78" s="128">
        <f>IF($A78="","",IF($D78="Basic",SUM(E78:K78)/35*100,SUMPRODUCT(E78:K78,XLOOKUP($B78,'Weighted Scoring'!$A$5:$A$13,'Weighted Scoring'!$B$5:$H$13))/SUMPRODUCT(5,XLOOKUP($B78,'Weighted Scoring'!$A$5:$A$13,'Weighted Scoring'!$B$5:$H$13))*100))</f>
        <v/>
      </c>
      <c r="V78" s="128">
        <f>IF($A78="","",IF($D78="Basic",SUM(L78:R78)/35*100,SUMPRODUCT(L78:R78,XLOOKUP($B78,'Weighted Scoring'!$A$5:$A$13,'Weighted Scoring'!$I$5:$O$13))/SUMPRODUCT(5,XLOOKUP($B78,'Weighted Scoring'!$A$5:$A$13,'Weighted Scoring'!$I$5:$O$13))*100))</f>
        <v/>
      </c>
      <c r="W78" s="128">
        <f>IF($A78="","",V78-U78)</f>
        <v/>
      </c>
      <c r="X78" s="125">
        <f>IF($A78="","",IFS(W78&gt;=40,"Stable Orbit",W78&gt;=15,"Controlled Orbit",W78&gt;=-14,"Edge Orbit",W78&gt;=-39,"Unstable Orbit",TRUE,"Critical Orbit"))</f>
        <v/>
      </c>
      <c r="Y78" s="125">
        <f>IF($A78="","",XLOOKUP(X78,'Deployment Gates'!$A$5:$A$9,'Deployment Gates'!$C$5:$C$9))</f>
        <v/>
      </c>
      <c r="Z78" s="125" t="n"/>
      <c r="AA78" s="125">
        <f>IF($A78="","",IF(OR(X78="Edge Orbit",X78="Unstable Orbit",X78="Critical Orbit",H78&gt;=4,G78&gt;=4,E78&gt;=4,J78&gt;=4),"Yes","No"))</f>
        <v/>
      </c>
      <c r="AB78" s="125">
        <f>IF($A78="","",IF(W78&lt;0,"Yes","No"))</f>
        <v/>
      </c>
      <c r="AC78" s="125">
        <f>IF($A78="","",INDEX($L$4:$R$4,1,MATCH(MIN(L78:R78),L78:R78,0)))</f>
        <v/>
      </c>
      <c r="AD78" s="125">
        <f>IF($A78="","",INDEX($E$4:$K$4,1,MATCH(MAX(E78:K78),E78:K78,0)))</f>
        <v/>
      </c>
      <c r="AE78" s="125">
        <f>IF($A78="","",XLOOKUP(AC78,'Control Uplift Planner'!$A$5:$A$11,'Control Uplift Planner'!$B$5:$B$11))</f>
        <v/>
      </c>
      <c r="AF78" s="131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>
        <f>IF(AND(MAX(L79:R79)&gt;3,S79&lt;3),"Warning: EGI &gt;3 needs Tier 3+ evidence",IF(AND(C79="Autonomous Operations Zone",S79&lt;4),"Warning: Autonomous zone needs Tier 4 evidence","OK"))</f>
        <v/>
      </c>
      <c r="U79" s="128">
        <f>IF($A79="","",IF($D79="Basic",SUM(E79:K79)/35*100,SUMPRODUCT(E79:K79,XLOOKUP($B79,'Weighted Scoring'!$A$5:$A$13,'Weighted Scoring'!$B$5:$H$13))/SUMPRODUCT(5,XLOOKUP($B79,'Weighted Scoring'!$A$5:$A$13,'Weighted Scoring'!$B$5:$H$13))*100))</f>
        <v/>
      </c>
      <c r="V79" s="128">
        <f>IF($A79="","",IF($D79="Basic",SUM(L79:R79)/35*100,SUMPRODUCT(L79:R79,XLOOKUP($B79,'Weighted Scoring'!$A$5:$A$13,'Weighted Scoring'!$I$5:$O$13))/SUMPRODUCT(5,XLOOKUP($B79,'Weighted Scoring'!$A$5:$A$13,'Weighted Scoring'!$I$5:$O$13))*100))</f>
        <v/>
      </c>
      <c r="W79" s="128">
        <f>IF($A79="","",V79-U79)</f>
        <v/>
      </c>
      <c r="X79" s="125">
        <f>IF($A79="","",IFS(W79&gt;=40,"Stable Orbit",W79&gt;=15,"Controlled Orbit",W79&gt;=-14,"Edge Orbit",W79&gt;=-39,"Unstable Orbit",TRUE,"Critical Orbit"))</f>
        <v/>
      </c>
      <c r="Y79" s="125">
        <f>IF($A79="","",XLOOKUP(X79,'Deployment Gates'!$A$5:$A$9,'Deployment Gates'!$C$5:$C$9))</f>
        <v/>
      </c>
      <c r="Z79" s="125" t="n"/>
      <c r="AA79" s="125">
        <f>IF($A79="","",IF(OR(X79="Edge Orbit",X79="Unstable Orbit",X79="Critical Orbit",H79&gt;=4,G79&gt;=4,E79&gt;=4,J79&gt;=4),"Yes","No"))</f>
        <v/>
      </c>
      <c r="AB79" s="125">
        <f>IF($A79="","",IF(W79&lt;0,"Yes","No"))</f>
        <v/>
      </c>
      <c r="AC79" s="125">
        <f>IF($A79="","",INDEX($L$4:$R$4,1,MATCH(MIN(L79:R79),L79:R79,0)))</f>
        <v/>
      </c>
      <c r="AD79" s="125">
        <f>IF($A79="","",INDEX($E$4:$K$4,1,MATCH(MAX(E79:K79),E79:K79,0)))</f>
        <v/>
      </c>
      <c r="AE79" s="125">
        <f>IF($A79="","",XLOOKUP(AC79,'Control Uplift Planner'!$A$5:$A$11,'Control Uplift Planner'!$B$5:$B$11))</f>
        <v/>
      </c>
      <c r="AF79" s="131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>
        <f>IF(AND(MAX(L80:R80)&gt;3,S80&lt;3),"Warning: EGI &gt;3 needs Tier 3+ evidence",IF(AND(C80="Autonomous Operations Zone",S80&lt;4),"Warning: Autonomous zone needs Tier 4 evidence","OK"))</f>
        <v/>
      </c>
      <c r="U80" s="128">
        <f>IF($A80="","",IF($D80="Basic",SUM(E80:K80)/35*100,SUMPRODUCT(E80:K80,XLOOKUP($B80,'Weighted Scoring'!$A$5:$A$13,'Weighted Scoring'!$B$5:$H$13))/SUMPRODUCT(5,XLOOKUP($B80,'Weighted Scoring'!$A$5:$A$13,'Weighted Scoring'!$B$5:$H$13))*100))</f>
        <v/>
      </c>
      <c r="V80" s="128">
        <f>IF($A80="","",IF($D80="Basic",SUM(L80:R80)/35*100,SUMPRODUCT(L80:R80,XLOOKUP($B80,'Weighted Scoring'!$A$5:$A$13,'Weighted Scoring'!$I$5:$O$13))/SUMPRODUCT(5,XLOOKUP($B80,'Weighted Scoring'!$A$5:$A$13,'Weighted Scoring'!$I$5:$O$13))*100))</f>
        <v/>
      </c>
      <c r="W80" s="128">
        <f>IF($A80="","",V80-U80)</f>
        <v/>
      </c>
      <c r="X80" s="125">
        <f>IF($A80="","",IFS(W80&gt;=40,"Stable Orbit",W80&gt;=15,"Controlled Orbit",W80&gt;=-14,"Edge Orbit",W80&gt;=-39,"Unstable Orbit",TRUE,"Critical Orbit"))</f>
        <v/>
      </c>
      <c r="Y80" s="125">
        <f>IF($A80="","",XLOOKUP(X80,'Deployment Gates'!$A$5:$A$9,'Deployment Gates'!$C$5:$C$9))</f>
        <v/>
      </c>
      <c r="Z80" s="125" t="n"/>
      <c r="AA80" s="125">
        <f>IF($A80="","",IF(OR(X80="Edge Orbit",X80="Unstable Orbit",X80="Critical Orbit",H80&gt;=4,G80&gt;=4,E80&gt;=4,J80&gt;=4),"Yes","No"))</f>
        <v/>
      </c>
      <c r="AB80" s="125">
        <f>IF($A80="","",IF(W80&lt;0,"Yes","No"))</f>
        <v/>
      </c>
      <c r="AC80" s="125">
        <f>IF($A80="","",INDEX($L$4:$R$4,1,MATCH(MIN(L80:R80),L80:R80,0)))</f>
        <v/>
      </c>
      <c r="AD80" s="125">
        <f>IF($A80="","",INDEX($E$4:$K$4,1,MATCH(MAX(E80:K80),E80:K80,0)))</f>
        <v/>
      </c>
      <c r="AE80" s="125">
        <f>IF($A80="","",XLOOKUP(AC80,'Control Uplift Planner'!$A$5:$A$11,'Control Uplift Planner'!$B$5:$B$11))</f>
        <v/>
      </c>
      <c r="AF80" s="131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>
        <f>IF(AND(MAX(L81:R81)&gt;3,S81&lt;3),"Warning: EGI &gt;3 needs Tier 3+ evidence",IF(AND(C81="Autonomous Operations Zone",S81&lt;4),"Warning: Autonomous zone needs Tier 4 evidence","OK"))</f>
        <v/>
      </c>
      <c r="U81" s="128">
        <f>IF($A81="","",IF($D81="Basic",SUM(E81:K81)/35*100,SUMPRODUCT(E81:K81,XLOOKUP($B81,'Weighted Scoring'!$A$5:$A$13,'Weighted Scoring'!$B$5:$H$13))/SUMPRODUCT(5,XLOOKUP($B81,'Weighted Scoring'!$A$5:$A$13,'Weighted Scoring'!$B$5:$H$13))*100))</f>
        <v/>
      </c>
      <c r="V81" s="128">
        <f>IF($A81="","",IF($D81="Basic",SUM(L81:R81)/35*100,SUMPRODUCT(L81:R81,XLOOKUP($B81,'Weighted Scoring'!$A$5:$A$13,'Weighted Scoring'!$I$5:$O$13))/SUMPRODUCT(5,XLOOKUP($B81,'Weighted Scoring'!$A$5:$A$13,'Weighted Scoring'!$I$5:$O$13))*100))</f>
        <v/>
      </c>
      <c r="W81" s="128">
        <f>IF($A81="","",V81-U81)</f>
        <v/>
      </c>
      <c r="X81" s="125">
        <f>IF($A81="","",IFS(W81&gt;=40,"Stable Orbit",W81&gt;=15,"Controlled Orbit",W81&gt;=-14,"Edge Orbit",W81&gt;=-39,"Unstable Orbit",TRUE,"Critical Orbit"))</f>
        <v/>
      </c>
      <c r="Y81" s="125">
        <f>IF($A81="","",XLOOKUP(X81,'Deployment Gates'!$A$5:$A$9,'Deployment Gates'!$C$5:$C$9))</f>
        <v/>
      </c>
      <c r="Z81" s="125" t="n"/>
      <c r="AA81" s="125">
        <f>IF($A81="","",IF(OR(X81="Edge Orbit",X81="Unstable Orbit",X81="Critical Orbit",H81&gt;=4,G81&gt;=4,E81&gt;=4,J81&gt;=4),"Yes","No"))</f>
        <v/>
      </c>
      <c r="AB81" s="125">
        <f>IF($A81="","",IF(W81&lt;0,"Yes","No"))</f>
        <v/>
      </c>
      <c r="AC81" s="125">
        <f>IF($A81="","",INDEX($L$4:$R$4,1,MATCH(MIN(L81:R81),L81:R81,0)))</f>
        <v/>
      </c>
      <c r="AD81" s="125">
        <f>IF($A81="","",INDEX($E$4:$K$4,1,MATCH(MAX(E81:K81),E81:K81,0)))</f>
        <v/>
      </c>
      <c r="AE81" s="125">
        <f>IF($A81="","",XLOOKUP(AC81,'Control Uplift Planner'!$A$5:$A$11,'Control Uplift Planner'!$B$5:$B$11))</f>
        <v/>
      </c>
      <c r="AF81" s="131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>
        <f>IF(AND(MAX(L82:R82)&gt;3,S82&lt;3),"Warning: EGI &gt;3 needs Tier 3+ evidence",IF(AND(C82="Autonomous Operations Zone",S82&lt;4),"Warning: Autonomous zone needs Tier 4 evidence","OK"))</f>
        <v/>
      </c>
      <c r="U82" s="128">
        <f>IF($A82="","",IF($D82="Basic",SUM(E82:K82)/35*100,SUMPRODUCT(E82:K82,XLOOKUP($B82,'Weighted Scoring'!$A$5:$A$13,'Weighted Scoring'!$B$5:$H$13))/SUMPRODUCT(5,XLOOKUP($B82,'Weighted Scoring'!$A$5:$A$13,'Weighted Scoring'!$B$5:$H$13))*100))</f>
        <v/>
      </c>
      <c r="V82" s="128">
        <f>IF($A82="","",IF($D82="Basic",SUM(L82:R82)/35*100,SUMPRODUCT(L82:R82,XLOOKUP($B82,'Weighted Scoring'!$A$5:$A$13,'Weighted Scoring'!$I$5:$O$13))/SUMPRODUCT(5,XLOOKUP($B82,'Weighted Scoring'!$A$5:$A$13,'Weighted Scoring'!$I$5:$O$13))*100))</f>
        <v/>
      </c>
      <c r="W82" s="128">
        <f>IF($A82="","",V82-U82)</f>
        <v/>
      </c>
      <c r="X82" s="125">
        <f>IF($A82="","",IFS(W82&gt;=40,"Stable Orbit",W82&gt;=15,"Controlled Orbit",W82&gt;=-14,"Edge Orbit",W82&gt;=-39,"Unstable Orbit",TRUE,"Critical Orbit"))</f>
        <v/>
      </c>
      <c r="Y82" s="125">
        <f>IF($A82="","",XLOOKUP(X82,'Deployment Gates'!$A$5:$A$9,'Deployment Gates'!$C$5:$C$9))</f>
        <v/>
      </c>
      <c r="Z82" s="125" t="n"/>
      <c r="AA82" s="125">
        <f>IF($A82="","",IF(OR(X82="Edge Orbit",X82="Unstable Orbit",X82="Critical Orbit",H82&gt;=4,G82&gt;=4,E82&gt;=4,J82&gt;=4),"Yes","No"))</f>
        <v/>
      </c>
      <c r="AB82" s="125">
        <f>IF($A82="","",IF(W82&lt;0,"Yes","No"))</f>
        <v/>
      </c>
      <c r="AC82" s="125">
        <f>IF($A82="","",INDEX($L$4:$R$4,1,MATCH(MIN(L82:R82),L82:R82,0)))</f>
        <v/>
      </c>
      <c r="AD82" s="125">
        <f>IF($A82="","",INDEX($E$4:$K$4,1,MATCH(MAX(E82:K82),E82:K82,0)))</f>
        <v/>
      </c>
      <c r="AE82" s="125">
        <f>IF($A82="","",XLOOKUP(AC82,'Control Uplift Planner'!$A$5:$A$11,'Control Uplift Planner'!$B$5:$B$11))</f>
        <v/>
      </c>
      <c r="AF82" s="131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>
        <f>IF(AND(MAX(L83:R83)&gt;3,S83&lt;3),"Warning: EGI &gt;3 needs Tier 3+ evidence",IF(AND(C83="Autonomous Operations Zone",S83&lt;4),"Warning: Autonomous zone needs Tier 4 evidence","OK"))</f>
        <v/>
      </c>
      <c r="U83" s="128">
        <f>IF($A83="","",IF($D83="Basic",SUM(E83:K83)/35*100,SUMPRODUCT(E83:K83,XLOOKUP($B83,'Weighted Scoring'!$A$5:$A$13,'Weighted Scoring'!$B$5:$H$13))/SUMPRODUCT(5,XLOOKUP($B83,'Weighted Scoring'!$A$5:$A$13,'Weighted Scoring'!$B$5:$H$13))*100))</f>
        <v/>
      </c>
      <c r="V83" s="128">
        <f>IF($A83="","",IF($D83="Basic",SUM(L83:R83)/35*100,SUMPRODUCT(L83:R83,XLOOKUP($B83,'Weighted Scoring'!$A$5:$A$13,'Weighted Scoring'!$I$5:$O$13))/SUMPRODUCT(5,XLOOKUP($B83,'Weighted Scoring'!$A$5:$A$13,'Weighted Scoring'!$I$5:$O$13))*100))</f>
        <v/>
      </c>
      <c r="W83" s="128">
        <f>IF($A83="","",V83-U83)</f>
        <v/>
      </c>
      <c r="X83" s="125">
        <f>IF($A83="","",IFS(W83&gt;=40,"Stable Orbit",W83&gt;=15,"Controlled Orbit",W83&gt;=-14,"Edge Orbit",W83&gt;=-39,"Unstable Orbit",TRUE,"Critical Orbit"))</f>
        <v/>
      </c>
      <c r="Y83" s="125">
        <f>IF($A83="","",XLOOKUP(X83,'Deployment Gates'!$A$5:$A$9,'Deployment Gates'!$C$5:$C$9))</f>
        <v/>
      </c>
      <c r="Z83" s="125" t="n"/>
      <c r="AA83" s="125">
        <f>IF($A83="","",IF(OR(X83="Edge Orbit",X83="Unstable Orbit",X83="Critical Orbit",H83&gt;=4,G83&gt;=4,E83&gt;=4,J83&gt;=4),"Yes","No"))</f>
        <v/>
      </c>
      <c r="AB83" s="125">
        <f>IF($A83="","",IF(W83&lt;0,"Yes","No"))</f>
        <v/>
      </c>
      <c r="AC83" s="125">
        <f>IF($A83="","",INDEX($L$4:$R$4,1,MATCH(MIN(L83:R83),L83:R83,0)))</f>
        <v/>
      </c>
      <c r="AD83" s="125">
        <f>IF($A83="","",INDEX($E$4:$K$4,1,MATCH(MAX(E83:K83),E83:K83,0)))</f>
        <v/>
      </c>
      <c r="AE83" s="125">
        <f>IF($A83="","",XLOOKUP(AC83,'Control Uplift Planner'!$A$5:$A$11,'Control Uplift Planner'!$B$5:$B$11))</f>
        <v/>
      </c>
      <c r="AF83" s="131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>
        <f>IF(AND(MAX(L84:R84)&gt;3,S84&lt;3),"Warning: EGI &gt;3 needs Tier 3+ evidence",IF(AND(C84="Autonomous Operations Zone",S84&lt;4),"Warning: Autonomous zone needs Tier 4 evidence","OK"))</f>
        <v/>
      </c>
      <c r="U84" s="128">
        <f>IF($A84="","",IF($D84="Basic",SUM(E84:K84)/35*100,SUMPRODUCT(E84:K84,XLOOKUP($B84,'Weighted Scoring'!$A$5:$A$13,'Weighted Scoring'!$B$5:$H$13))/SUMPRODUCT(5,XLOOKUP($B84,'Weighted Scoring'!$A$5:$A$13,'Weighted Scoring'!$B$5:$H$13))*100))</f>
        <v/>
      </c>
      <c r="V84" s="128">
        <f>IF($A84="","",IF($D84="Basic",SUM(L84:R84)/35*100,SUMPRODUCT(L84:R84,XLOOKUP($B84,'Weighted Scoring'!$A$5:$A$13,'Weighted Scoring'!$I$5:$O$13))/SUMPRODUCT(5,XLOOKUP($B84,'Weighted Scoring'!$A$5:$A$13,'Weighted Scoring'!$I$5:$O$13))*100))</f>
        <v/>
      </c>
      <c r="W84" s="128">
        <f>IF($A84="","",V84-U84)</f>
        <v/>
      </c>
      <c r="X84" s="125">
        <f>IF($A84="","",IFS(W84&gt;=40,"Stable Orbit",W84&gt;=15,"Controlled Orbit",W84&gt;=-14,"Edge Orbit",W84&gt;=-39,"Unstable Orbit",TRUE,"Critical Orbit"))</f>
        <v/>
      </c>
      <c r="Y84" s="125">
        <f>IF($A84="","",XLOOKUP(X84,'Deployment Gates'!$A$5:$A$9,'Deployment Gates'!$C$5:$C$9))</f>
        <v/>
      </c>
      <c r="Z84" s="125" t="n"/>
      <c r="AA84" s="125">
        <f>IF($A84="","",IF(OR(X84="Edge Orbit",X84="Unstable Orbit",X84="Critical Orbit",H84&gt;=4,G84&gt;=4,E84&gt;=4,J84&gt;=4),"Yes","No"))</f>
        <v/>
      </c>
      <c r="AB84" s="125">
        <f>IF($A84="","",IF(W84&lt;0,"Yes","No"))</f>
        <v/>
      </c>
      <c r="AC84" s="125">
        <f>IF($A84="","",INDEX($L$4:$R$4,1,MATCH(MIN(L84:R84),L84:R84,0)))</f>
        <v/>
      </c>
      <c r="AD84" s="125">
        <f>IF($A84="","",INDEX($E$4:$K$4,1,MATCH(MAX(E84:K84),E84:K84,0)))</f>
        <v/>
      </c>
      <c r="AE84" s="125">
        <f>IF($A84="","",XLOOKUP(AC84,'Control Uplift Planner'!$A$5:$A$11,'Control Uplift Planner'!$B$5:$B$11))</f>
        <v/>
      </c>
      <c r="AF84" s="131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>
        <f>IF(AND(MAX(L85:R85)&gt;3,S85&lt;3),"Warning: EGI &gt;3 needs Tier 3+ evidence",IF(AND(C85="Autonomous Operations Zone",S85&lt;4),"Warning: Autonomous zone needs Tier 4 evidence","OK"))</f>
        <v/>
      </c>
      <c r="U85" s="128">
        <f>IF($A85="","",IF($D85="Basic",SUM(E85:K85)/35*100,SUMPRODUCT(E85:K85,XLOOKUP($B85,'Weighted Scoring'!$A$5:$A$13,'Weighted Scoring'!$B$5:$H$13))/SUMPRODUCT(5,XLOOKUP($B85,'Weighted Scoring'!$A$5:$A$13,'Weighted Scoring'!$B$5:$H$13))*100))</f>
        <v/>
      </c>
      <c r="V85" s="128">
        <f>IF($A85="","",IF($D85="Basic",SUM(L85:R85)/35*100,SUMPRODUCT(L85:R85,XLOOKUP($B85,'Weighted Scoring'!$A$5:$A$13,'Weighted Scoring'!$I$5:$O$13))/SUMPRODUCT(5,XLOOKUP($B85,'Weighted Scoring'!$A$5:$A$13,'Weighted Scoring'!$I$5:$O$13))*100))</f>
        <v/>
      </c>
      <c r="W85" s="128">
        <f>IF($A85="","",V85-U85)</f>
        <v/>
      </c>
      <c r="X85" s="125">
        <f>IF($A85="","",IFS(W85&gt;=40,"Stable Orbit",W85&gt;=15,"Controlled Orbit",W85&gt;=-14,"Edge Orbit",W85&gt;=-39,"Unstable Orbit",TRUE,"Critical Orbit"))</f>
        <v/>
      </c>
      <c r="Y85" s="125">
        <f>IF($A85="","",XLOOKUP(X85,'Deployment Gates'!$A$5:$A$9,'Deployment Gates'!$C$5:$C$9))</f>
        <v/>
      </c>
      <c r="Z85" s="125" t="n"/>
      <c r="AA85" s="125">
        <f>IF($A85="","",IF(OR(X85="Edge Orbit",X85="Unstable Orbit",X85="Critical Orbit",H85&gt;=4,G85&gt;=4,E85&gt;=4,J85&gt;=4),"Yes","No"))</f>
        <v/>
      </c>
      <c r="AB85" s="125">
        <f>IF($A85="","",IF(W85&lt;0,"Yes","No"))</f>
        <v/>
      </c>
      <c r="AC85" s="125">
        <f>IF($A85="","",INDEX($L$4:$R$4,1,MATCH(MIN(L85:R85),L85:R85,0)))</f>
        <v/>
      </c>
      <c r="AD85" s="125">
        <f>IF($A85="","",INDEX($E$4:$K$4,1,MATCH(MAX(E85:K85),E85:K85,0)))</f>
        <v/>
      </c>
      <c r="AE85" s="125">
        <f>IF($A85="","",XLOOKUP(AC85,'Control Uplift Planner'!$A$5:$A$11,'Control Uplift Planner'!$B$5:$B$11))</f>
        <v/>
      </c>
      <c r="AF85" s="131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>
        <f>IF(AND(MAX(L86:R86)&gt;3,S86&lt;3),"Warning: EGI &gt;3 needs Tier 3+ evidence",IF(AND(C86="Autonomous Operations Zone",S86&lt;4),"Warning: Autonomous zone needs Tier 4 evidence","OK"))</f>
        <v/>
      </c>
      <c r="U86" s="128">
        <f>IF($A86="","",IF($D86="Basic",SUM(E86:K86)/35*100,SUMPRODUCT(E86:K86,XLOOKUP($B86,'Weighted Scoring'!$A$5:$A$13,'Weighted Scoring'!$B$5:$H$13))/SUMPRODUCT(5,XLOOKUP($B86,'Weighted Scoring'!$A$5:$A$13,'Weighted Scoring'!$B$5:$H$13))*100))</f>
        <v/>
      </c>
      <c r="V86" s="128">
        <f>IF($A86="","",IF($D86="Basic",SUM(L86:R86)/35*100,SUMPRODUCT(L86:R86,XLOOKUP($B86,'Weighted Scoring'!$A$5:$A$13,'Weighted Scoring'!$I$5:$O$13))/SUMPRODUCT(5,XLOOKUP($B86,'Weighted Scoring'!$A$5:$A$13,'Weighted Scoring'!$I$5:$O$13))*100))</f>
        <v/>
      </c>
      <c r="W86" s="128">
        <f>IF($A86="","",V86-U86)</f>
        <v/>
      </c>
      <c r="X86" s="125">
        <f>IF($A86="","",IFS(W86&gt;=40,"Stable Orbit",W86&gt;=15,"Controlled Orbit",W86&gt;=-14,"Edge Orbit",W86&gt;=-39,"Unstable Orbit",TRUE,"Critical Orbit"))</f>
        <v/>
      </c>
      <c r="Y86" s="125">
        <f>IF($A86="","",XLOOKUP(X86,'Deployment Gates'!$A$5:$A$9,'Deployment Gates'!$C$5:$C$9))</f>
        <v/>
      </c>
      <c r="Z86" s="125" t="n"/>
      <c r="AA86" s="125">
        <f>IF($A86="","",IF(OR(X86="Edge Orbit",X86="Unstable Orbit",X86="Critical Orbit",H86&gt;=4,G86&gt;=4,E86&gt;=4,J86&gt;=4),"Yes","No"))</f>
        <v/>
      </c>
      <c r="AB86" s="125">
        <f>IF($A86="","",IF(W86&lt;0,"Yes","No"))</f>
        <v/>
      </c>
      <c r="AC86" s="125">
        <f>IF($A86="","",INDEX($L$4:$R$4,1,MATCH(MIN(L86:R86),L86:R86,0)))</f>
        <v/>
      </c>
      <c r="AD86" s="125">
        <f>IF($A86="","",INDEX($E$4:$K$4,1,MATCH(MAX(E86:K86),E86:K86,0)))</f>
        <v/>
      </c>
      <c r="AE86" s="125">
        <f>IF($A86="","",XLOOKUP(AC86,'Control Uplift Planner'!$A$5:$A$11,'Control Uplift Planner'!$B$5:$B$11))</f>
        <v/>
      </c>
      <c r="AF86" s="131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>
        <f>IF(AND(MAX(L87:R87)&gt;3,S87&lt;3),"Warning: EGI &gt;3 needs Tier 3+ evidence",IF(AND(C87="Autonomous Operations Zone",S87&lt;4),"Warning: Autonomous zone needs Tier 4 evidence","OK"))</f>
        <v/>
      </c>
      <c r="U87" s="128">
        <f>IF($A87="","",IF($D87="Basic",SUM(E87:K87)/35*100,SUMPRODUCT(E87:K87,XLOOKUP($B87,'Weighted Scoring'!$A$5:$A$13,'Weighted Scoring'!$B$5:$H$13))/SUMPRODUCT(5,XLOOKUP($B87,'Weighted Scoring'!$A$5:$A$13,'Weighted Scoring'!$B$5:$H$13))*100))</f>
        <v/>
      </c>
      <c r="V87" s="128">
        <f>IF($A87="","",IF($D87="Basic",SUM(L87:R87)/35*100,SUMPRODUCT(L87:R87,XLOOKUP($B87,'Weighted Scoring'!$A$5:$A$13,'Weighted Scoring'!$I$5:$O$13))/SUMPRODUCT(5,XLOOKUP($B87,'Weighted Scoring'!$A$5:$A$13,'Weighted Scoring'!$I$5:$O$13))*100))</f>
        <v/>
      </c>
      <c r="W87" s="128">
        <f>IF($A87="","",V87-U87)</f>
        <v/>
      </c>
      <c r="X87" s="125">
        <f>IF($A87="","",IFS(W87&gt;=40,"Stable Orbit",W87&gt;=15,"Controlled Orbit",W87&gt;=-14,"Edge Orbit",W87&gt;=-39,"Unstable Orbit",TRUE,"Critical Orbit"))</f>
        <v/>
      </c>
      <c r="Y87" s="125">
        <f>IF($A87="","",XLOOKUP(X87,'Deployment Gates'!$A$5:$A$9,'Deployment Gates'!$C$5:$C$9))</f>
        <v/>
      </c>
      <c r="Z87" s="125" t="n"/>
      <c r="AA87" s="125">
        <f>IF($A87="","",IF(OR(X87="Edge Orbit",X87="Unstable Orbit",X87="Critical Orbit",H87&gt;=4,G87&gt;=4,E87&gt;=4,J87&gt;=4),"Yes","No"))</f>
        <v/>
      </c>
      <c r="AB87" s="125">
        <f>IF($A87="","",IF(W87&lt;0,"Yes","No"))</f>
        <v/>
      </c>
      <c r="AC87" s="125">
        <f>IF($A87="","",INDEX($L$4:$R$4,1,MATCH(MIN(L87:R87),L87:R87,0)))</f>
        <v/>
      </c>
      <c r="AD87" s="125">
        <f>IF($A87="","",INDEX($E$4:$K$4,1,MATCH(MAX(E87:K87),E87:K87,0)))</f>
        <v/>
      </c>
      <c r="AE87" s="125">
        <f>IF($A87="","",XLOOKUP(AC87,'Control Uplift Planner'!$A$5:$A$11,'Control Uplift Planner'!$B$5:$B$11))</f>
        <v/>
      </c>
      <c r="AF87" s="131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>
        <f>IF(AND(MAX(L88:R88)&gt;3,S88&lt;3),"Warning: EGI &gt;3 needs Tier 3+ evidence",IF(AND(C88="Autonomous Operations Zone",S88&lt;4),"Warning: Autonomous zone needs Tier 4 evidence","OK"))</f>
        <v/>
      </c>
      <c r="U88" s="128">
        <f>IF($A88="","",IF($D88="Basic",SUM(E88:K88)/35*100,SUMPRODUCT(E88:K88,XLOOKUP($B88,'Weighted Scoring'!$A$5:$A$13,'Weighted Scoring'!$B$5:$H$13))/SUMPRODUCT(5,XLOOKUP($B88,'Weighted Scoring'!$A$5:$A$13,'Weighted Scoring'!$B$5:$H$13))*100))</f>
        <v/>
      </c>
      <c r="V88" s="128">
        <f>IF($A88="","",IF($D88="Basic",SUM(L88:R88)/35*100,SUMPRODUCT(L88:R88,XLOOKUP($B88,'Weighted Scoring'!$A$5:$A$13,'Weighted Scoring'!$I$5:$O$13))/SUMPRODUCT(5,XLOOKUP($B88,'Weighted Scoring'!$A$5:$A$13,'Weighted Scoring'!$I$5:$O$13))*100))</f>
        <v/>
      </c>
      <c r="W88" s="128">
        <f>IF($A88="","",V88-U88)</f>
        <v/>
      </c>
      <c r="X88" s="125">
        <f>IF($A88="","",IFS(W88&gt;=40,"Stable Orbit",W88&gt;=15,"Controlled Orbit",W88&gt;=-14,"Edge Orbit",W88&gt;=-39,"Unstable Orbit",TRUE,"Critical Orbit"))</f>
        <v/>
      </c>
      <c r="Y88" s="125">
        <f>IF($A88="","",XLOOKUP(X88,'Deployment Gates'!$A$5:$A$9,'Deployment Gates'!$C$5:$C$9))</f>
        <v/>
      </c>
      <c r="Z88" s="125" t="n"/>
      <c r="AA88" s="125">
        <f>IF($A88="","",IF(OR(X88="Edge Orbit",X88="Unstable Orbit",X88="Critical Orbit",H88&gt;=4,G88&gt;=4,E88&gt;=4,J88&gt;=4),"Yes","No"))</f>
        <v/>
      </c>
      <c r="AB88" s="125">
        <f>IF($A88="","",IF(W88&lt;0,"Yes","No"))</f>
        <v/>
      </c>
      <c r="AC88" s="125">
        <f>IF($A88="","",INDEX($L$4:$R$4,1,MATCH(MIN(L88:R88),L88:R88,0)))</f>
        <v/>
      </c>
      <c r="AD88" s="125">
        <f>IF($A88="","",INDEX($E$4:$K$4,1,MATCH(MAX(E88:K88),E88:K88,0)))</f>
        <v/>
      </c>
      <c r="AE88" s="125">
        <f>IF($A88="","",XLOOKUP(AC88,'Control Uplift Planner'!$A$5:$A$11,'Control Uplift Planner'!$B$5:$B$11))</f>
        <v/>
      </c>
      <c r="AF88" s="131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>
        <f>IF(AND(MAX(L89:R89)&gt;3,S89&lt;3),"Warning: EGI &gt;3 needs Tier 3+ evidence",IF(AND(C89="Autonomous Operations Zone",S89&lt;4),"Warning: Autonomous zone needs Tier 4 evidence","OK"))</f>
        <v/>
      </c>
      <c r="U89" s="128">
        <f>IF($A89="","",IF($D89="Basic",SUM(E89:K89)/35*100,SUMPRODUCT(E89:K89,XLOOKUP($B89,'Weighted Scoring'!$A$5:$A$13,'Weighted Scoring'!$B$5:$H$13))/SUMPRODUCT(5,XLOOKUP($B89,'Weighted Scoring'!$A$5:$A$13,'Weighted Scoring'!$B$5:$H$13))*100))</f>
        <v/>
      </c>
      <c r="V89" s="128">
        <f>IF($A89="","",IF($D89="Basic",SUM(L89:R89)/35*100,SUMPRODUCT(L89:R89,XLOOKUP($B89,'Weighted Scoring'!$A$5:$A$13,'Weighted Scoring'!$I$5:$O$13))/SUMPRODUCT(5,XLOOKUP($B89,'Weighted Scoring'!$A$5:$A$13,'Weighted Scoring'!$I$5:$O$13))*100))</f>
        <v/>
      </c>
      <c r="W89" s="128">
        <f>IF($A89="","",V89-U89)</f>
        <v/>
      </c>
      <c r="X89" s="125">
        <f>IF($A89="","",IFS(W89&gt;=40,"Stable Orbit",W89&gt;=15,"Controlled Orbit",W89&gt;=-14,"Edge Orbit",W89&gt;=-39,"Unstable Orbit",TRUE,"Critical Orbit"))</f>
        <v/>
      </c>
      <c r="Y89" s="125">
        <f>IF($A89="","",XLOOKUP(X89,'Deployment Gates'!$A$5:$A$9,'Deployment Gates'!$C$5:$C$9))</f>
        <v/>
      </c>
      <c r="Z89" s="125" t="n"/>
      <c r="AA89" s="125">
        <f>IF($A89="","",IF(OR(X89="Edge Orbit",X89="Unstable Orbit",X89="Critical Orbit",H89&gt;=4,G89&gt;=4,E89&gt;=4,J89&gt;=4),"Yes","No"))</f>
        <v/>
      </c>
      <c r="AB89" s="125">
        <f>IF($A89="","",IF(W89&lt;0,"Yes","No"))</f>
        <v/>
      </c>
      <c r="AC89" s="125">
        <f>IF($A89="","",INDEX($L$4:$R$4,1,MATCH(MIN(L89:R89),L89:R89,0)))</f>
        <v/>
      </c>
      <c r="AD89" s="125">
        <f>IF($A89="","",INDEX($E$4:$K$4,1,MATCH(MAX(E89:K89),E89:K89,0)))</f>
        <v/>
      </c>
      <c r="AE89" s="125">
        <f>IF($A89="","",XLOOKUP(AC89,'Control Uplift Planner'!$A$5:$A$11,'Control Uplift Planner'!$B$5:$B$11))</f>
        <v/>
      </c>
      <c r="AF89" s="131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>
        <f>IF(AND(MAX(L90:R90)&gt;3,S90&lt;3),"Warning: EGI &gt;3 needs Tier 3+ evidence",IF(AND(C90="Autonomous Operations Zone",S90&lt;4),"Warning: Autonomous zone needs Tier 4 evidence","OK"))</f>
        <v/>
      </c>
      <c r="U90" s="128">
        <f>IF($A90="","",IF($D90="Basic",SUM(E90:K90)/35*100,SUMPRODUCT(E90:K90,XLOOKUP($B90,'Weighted Scoring'!$A$5:$A$13,'Weighted Scoring'!$B$5:$H$13))/SUMPRODUCT(5,XLOOKUP($B90,'Weighted Scoring'!$A$5:$A$13,'Weighted Scoring'!$B$5:$H$13))*100))</f>
        <v/>
      </c>
      <c r="V90" s="128">
        <f>IF($A90="","",IF($D90="Basic",SUM(L90:R90)/35*100,SUMPRODUCT(L90:R90,XLOOKUP($B90,'Weighted Scoring'!$A$5:$A$13,'Weighted Scoring'!$I$5:$O$13))/SUMPRODUCT(5,XLOOKUP($B90,'Weighted Scoring'!$A$5:$A$13,'Weighted Scoring'!$I$5:$O$13))*100))</f>
        <v/>
      </c>
      <c r="W90" s="128">
        <f>IF($A90="","",V90-U90)</f>
        <v/>
      </c>
      <c r="X90" s="125">
        <f>IF($A90="","",IFS(W90&gt;=40,"Stable Orbit",W90&gt;=15,"Controlled Orbit",W90&gt;=-14,"Edge Orbit",W90&gt;=-39,"Unstable Orbit",TRUE,"Critical Orbit"))</f>
        <v/>
      </c>
      <c r="Y90" s="125">
        <f>IF($A90="","",XLOOKUP(X90,'Deployment Gates'!$A$5:$A$9,'Deployment Gates'!$C$5:$C$9))</f>
        <v/>
      </c>
      <c r="Z90" s="125" t="n"/>
      <c r="AA90" s="125">
        <f>IF($A90="","",IF(OR(X90="Edge Orbit",X90="Unstable Orbit",X90="Critical Orbit",H90&gt;=4,G90&gt;=4,E90&gt;=4,J90&gt;=4),"Yes","No"))</f>
        <v/>
      </c>
      <c r="AB90" s="125">
        <f>IF($A90="","",IF(W90&lt;0,"Yes","No"))</f>
        <v/>
      </c>
      <c r="AC90" s="125">
        <f>IF($A90="","",INDEX($L$4:$R$4,1,MATCH(MIN(L90:R90),L90:R90,0)))</f>
        <v/>
      </c>
      <c r="AD90" s="125">
        <f>IF($A90="","",INDEX($E$4:$K$4,1,MATCH(MAX(E90:K90),E90:K90,0)))</f>
        <v/>
      </c>
      <c r="AE90" s="125">
        <f>IF($A90="","",XLOOKUP(AC90,'Control Uplift Planner'!$A$5:$A$11,'Control Uplift Planner'!$B$5:$B$11))</f>
        <v/>
      </c>
      <c r="AF90" s="131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>
        <f>IF(AND(MAX(L91:R91)&gt;3,S91&lt;3),"Warning: EGI &gt;3 needs Tier 3+ evidence",IF(AND(C91="Autonomous Operations Zone",S91&lt;4),"Warning: Autonomous zone needs Tier 4 evidence","OK"))</f>
        <v/>
      </c>
      <c r="U91" s="128">
        <f>IF($A91="","",IF($D91="Basic",SUM(E91:K91)/35*100,SUMPRODUCT(E91:K91,XLOOKUP($B91,'Weighted Scoring'!$A$5:$A$13,'Weighted Scoring'!$B$5:$H$13))/SUMPRODUCT(5,XLOOKUP($B91,'Weighted Scoring'!$A$5:$A$13,'Weighted Scoring'!$B$5:$H$13))*100))</f>
        <v/>
      </c>
      <c r="V91" s="128">
        <f>IF($A91="","",IF($D91="Basic",SUM(L91:R91)/35*100,SUMPRODUCT(L91:R91,XLOOKUP($B91,'Weighted Scoring'!$A$5:$A$13,'Weighted Scoring'!$I$5:$O$13))/SUMPRODUCT(5,XLOOKUP($B91,'Weighted Scoring'!$A$5:$A$13,'Weighted Scoring'!$I$5:$O$13))*100))</f>
        <v/>
      </c>
      <c r="W91" s="128">
        <f>IF($A91="","",V91-U91)</f>
        <v/>
      </c>
      <c r="X91" s="125">
        <f>IF($A91="","",IFS(W91&gt;=40,"Stable Orbit",W91&gt;=15,"Controlled Orbit",W91&gt;=-14,"Edge Orbit",W91&gt;=-39,"Unstable Orbit",TRUE,"Critical Orbit"))</f>
        <v/>
      </c>
      <c r="Y91" s="125">
        <f>IF($A91="","",XLOOKUP(X91,'Deployment Gates'!$A$5:$A$9,'Deployment Gates'!$C$5:$C$9))</f>
        <v/>
      </c>
      <c r="Z91" s="125" t="n"/>
      <c r="AA91" s="125">
        <f>IF($A91="","",IF(OR(X91="Edge Orbit",X91="Unstable Orbit",X91="Critical Orbit",H91&gt;=4,G91&gt;=4,E91&gt;=4,J91&gt;=4),"Yes","No"))</f>
        <v/>
      </c>
      <c r="AB91" s="125">
        <f>IF($A91="","",IF(W91&lt;0,"Yes","No"))</f>
        <v/>
      </c>
      <c r="AC91" s="125">
        <f>IF($A91="","",INDEX($L$4:$R$4,1,MATCH(MIN(L91:R91),L91:R91,0)))</f>
        <v/>
      </c>
      <c r="AD91" s="125">
        <f>IF($A91="","",INDEX($E$4:$K$4,1,MATCH(MAX(E91:K91),E91:K91,0)))</f>
        <v/>
      </c>
      <c r="AE91" s="125">
        <f>IF($A91="","",XLOOKUP(AC91,'Control Uplift Planner'!$A$5:$A$11,'Control Uplift Planner'!$B$5:$B$11))</f>
        <v/>
      </c>
      <c r="AF91" s="131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>
        <f>IF(AND(MAX(L92:R92)&gt;3,S92&lt;3),"Warning: EGI &gt;3 needs Tier 3+ evidence",IF(AND(C92="Autonomous Operations Zone",S92&lt;4),"Warning: Autonomous zone needs Tier 4 evidence","OK"))</f>
        <v/>
      </c>
      <c r="U92" s="128">
        <f>IF($A92="","",IF($D92="Basic",SUM(E92:K92)/35*100,SUMPRODUCT(E92:K92,XLOOKUP($B92,'Weighted Scoring'!$A$5:$A$13,'Weighted Scoring'!$B$5:$H$13))/SUMPRODUCT(5,XLOOKUP($B92,'Weighted Scoring'!$A$5:$A$13,'Weighted Scoring'!$B$5:$H$13))*100))</f>
        <v/>
      </c>
      <c r="V92" s="128">
        <f>IF($A92="","",IF($D92="Basic",SUM(L92:R92)/35*100,SUMPRODUCT(L92:R92,XLOOKUP($B92,'Weighted Scoring'!$A$5:$A$13,'Weighted Scoring'!$I$5:$O$13))/SUMPRODUCT(5,XLOOKUP($B92,'Weighted Scoring'!$A$5:$A$13,'Weighted Scoring'!$I$5:$O$13))*100))</f>
        <v/>
      </c>
      <c r="W92" s="128">
        <f>IF($A92="","",V92-U92)</f>
        <v/>
      </c>
      <c r="X92" s="125">
        <f>IF($A92="","",IFS(W92&gt;=40,"Stable Orbit",W92&gt;=15,"Controlled Orbit",W92&gt;=-14,"Edge Orbit",W92&gt;=-39,"Unstable Orbit",TRUE,"Critical Orbit"))</f>
        <v/>
      </c>
      <c r="Y92" s="125">
        <f>IF($A92="","",XLOOKUP(X92,'Deployment Gates'!$A$5:$A$9,'Deployment Gates'!$C$5:$C$9))</f>
        <v/>
      </c>
      <c r="Z92" s="125" t="n"/>
      <c r="AA92" s="125">
        <f>IF($A92="","",IF(OR(X92="Edge Orbit",X92="Unstable Orbit",X92="Critical Orbit",H92&gt;=4,G92&gt;=4,E92&gt;=4,J92&gt;=4),"Yes","No"))</f>
        <v/>
      </c>
      <c r="AB92" s="125">
        <f>IF($A92="","",IF(W92&lt;0,"Yes","No"))</f>
        <v/>
      </c>
      <c r="AC92" s="125">
        <f>IF($A92="","",INDEX($L$4:$R$4,1,MATCH(MIN(L92:R92),L92:R92,0)))</f>
        <v/>
      </c>
      <c r="AD92" s="125">
        <f>IF($A92="","",INDEX($E$4:$K$4,1,MATCH(MAX(E92:K92),E92:K92,0)))</f>
        <v/>
      </c>
      <c r="AE92" s="125">
        <f>IF($A92="","",XLOOKUP(AC92,'Control Uplift Planner'!$A$5:$A$11,'Control Uplift Planner'!$B$5:$B$11))</f>
        <v/>
      </c>
      <c r="AF92" s="131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>
        <f>IF(AND(MAX(L93:R93)&gt;3,S93&lt;3),"Warning: EGI &gt;3 needs Tier 3+ evidence",IF(AND(C93="Autonomous Operations Zone",S93&lt;4),"Warning: Autonomous zone needs Tier 4 evidence","OK"))</f>
        <v/>
      </c>
      <c r="U93" s="128">
        <f>IF($A93="","",IF($D93="Basic",SUM(E93:K93)/35*100,SUMPRODUCT(E93:K93,XLOOKUP($B93,'Weighted Scoring'!$A$5:$A$13,'Weighted Scoring'!$B$5:$H$13))/SUMPRODUCT(5,XLOOKUP($B93,'Weighted Scoring'!$A$5:$A$13,'Weighted Scoring'!$B$5:$H$13))*100))</f>
        <v/>
      </c>
      <c r="V93" s="128">
        <f>IF($A93="","",IF($D93="Basic",SUM(L93:R93)/35*100,SUMPRODUCT(L93:R93,XLOOKUP($B93,'Weighted Scoring'!$A$5:$A$13,'Weighted Scoring'!$I$5:$O$13))/SUMPRODUCT(5,XLOOKUP($B93,'Weighted Scoring'!$A$5:$A$13,'Weighted Scoring'!$I$5:$O$13))*100))</f>
        <v/>
      </c>
      <c r="W93" s="128">
        <f>IF($A93="","",V93-U93)</f>
        <v/>
      </c>
      <c r="X93" s="125">
        <f>IF($A93="","",IFS(W93&gt;=40,"Stable Orbit",W93&gt;=15,"Controlled Orbit",W93&gt;=-14,"Edge Orbit",W93&gt;=-39,"Unstable Orbit",TRUE,"Critical Orbit"))</f>
        <v/>
      </c>
      <c r="Y93" s="125">
        <f>IF($A93="","",XLOOKUP(X93,'Deployment Gates'!$A$5:$A$9,'Deployment Gates'!$C$5:$C$9))</f>
        <v/>
      </c>
      <c r="Z93" s="125" t="n"/>
      <c r="AA93" s="125">
        <f>IF($A93="","",IF(OR(X93="Edge Orbit",X93="Unstable Orbit",X93="Critical Orbit",H93&gt;=4,G93&gt;=4,E93&gt;=4,J93&gt;=4),"Yes","No"))</f>
        <v/>
      </c>
      <c r="AB93" s="125">
        <f>IF($A93="","",IF(W93&lt;0,"Yes","No"))</f>
        <v/>
      </c>
      <c r="AC93" s="125">
        <f>IF($A93="","",INDEX($L$4:$R$4,1,MATCH(MIN(L93:R93),L93:R93,0)))</f>
        <v/>
      </c>
      <c r="AD93" s="125">
        <f>IF($A93="","",INDEX($E$4:$K$4,1,MATCH(MAX(E93:K93),E93:K93,0)))</f>
        <v/>
      </c>
      <c r="AE93" s="125">
        <f>IF($A93="","",XLOOKUP(AC93,'Control Uplift Planner'!$A$5:$A$11,'Control Uplift Planner'!$B$5:$B$11))</f>
        <v/>
      </c>
      <c r="AF93" s="131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>
        <f>IF(AND(MAX(L94:R94)&gt;3,S94&lt;3),"Warning: EGI &gt;3 needs Tier 3+ evidence",IF(AND(C94="Autonomous Operations Zone",S94&lt;4),"Warning: Autonomous zone needs Tier 4 evidence","OK"))</f>
        <v/>
      </c>
      <c r="U94" s="128">
        <f>IF($A94="","",IF($D94="Basic",SUM(E94:K94)/35*100,SUMPRODUCT(E94:K94,XLOOKUP($B94,'Weighted Scoring'!$A$5:$A$13,'Weighted Scoring'!$B$5:$H$13))/SUMPRODUCT(5,XLOOKUP($B94,'Weighted Scoring'!$A$5:$A$13,'Weighted Scoring'!$B$5:$H$13))*100))</f>
        <v/>
      </c>
      <c r="V94" s="128">
        <f>IF($A94="","",IF($D94="Basic",SUM(L94:R94)/35*100,SUMPRODUCT(L94:R94,XLOOKUP($B94,'Weighted Scoring'!$A$5:$A$13,'Weighted Scoring'!$I$5:$O$13))/SUMPRODUCT(5,XLOOKUP($B94,'Weighted Scoring'!$A$5:$A$13,'Weighted Scoring'!$I$5:$O$13))*100))</f>
        <v/>
      </c>
      <c r="W94" s="128">
        <f>IF($A94="","",V94-U94)</f>
        <v/>
      </c>
      <c r="X94" s="125">
        <f>IF($A94="","",IFS(W94&gt;=40,"Stable Orbit",W94&gt;=15,"Controlled Orbit",W94&gt;=-14,"Edge Orbit",W94&gt;=-39,"Unstable Orbit",TRUE,"Critical Orbit"))</f>
        <v/>
      </c>
      <c r="Y94" s="125">
        <f>IF($A94="","",XLOOKUP(X94,'Deployment Gates'!$A$5:$A$9,'Deployment Gates'!$C$5:$C$9))</f>
        <v/>
      </c>
      <c r="Z94" s="125" t="n"/>
      <c r="AA94" s="125">
        <f>IF($A94="","",IF(OR(X94="Edge Orbit",X94="Unstable Orbit",X94="Critical Orbit",H94&gt;=4,G94&gt;=4,E94&gt;=4,J94&gt;=4),"Yes","No"))</f>
        <v/>
      </c>
      <c r="AB94" s="125">
        <f>IF($A94="","",IF(W94&lt;0,"Yes","No"))</f>
        <v/>
      </c>
      <c r="AC94" s="125">
        <f>IF($A94="","",INDEX($L$4:$R$4,1,MATCH(MIN(L94:R94),L94:R94,0)))</f>
        <v/>
      </c>
      <c r="AD94" s="125">
        <f>IF($A94="","",INDEX($E$4:$K$4,1,MATCH(MAX(E94:K94),E94:K94,0)))</f>
        <v/>
      </c>
      <c r="AE94" s="125">
        <f>IF($A94="","",XLOOKUP(AC94,'Control Uplift Planner'!$A$5:$A$11,'Control Uplift Planner'!$B$5:$B$11))</f>
        <v/>
      </c>
      <c r="AF94" s="131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>
        <f>IF(AND(MAX(L95:R95)&gt;3,S95&lt;3),"Warning: EGI &gt;3 needs Tier 3+ evidence",IF(AND(C95="Autonomous Operations Zone",S95&lt;4),"Warning: Autonomous zone needs Tier 4 evidence","OK"))</f>
        <v/>
      </c>
      <c r="U95" s="128">
        <f>IF($A95="","",IF($D95="Basic",SUM(E95:K95)/35*100,SUMPRODUCT(E95:K95,XLOOKUP($B95,'Weighted Scoring'!$A$5:$A$13,'Weighted Scoring'!$B$5:$H$13))/SUMPRODUCT(5,XLOOKUP($B95,'Weighted Scoring'!$A$5:$A$13,'Weighted Scoring'!$B$5:$H$13))*100))</f>
        <v/>
      </c>
      <c r="V95" s="128">
        <f>IF($A95="","",IF($D95="Basic",SUM(L95:R95)/35*100,SUMPRODUCT(L95:R95,XLOOKUP($B95,'Weighted Scoring'!$A$5:$A$13,'Weighted Scoring'!$I$5:$O$13))/SUMPRODUCT(5,XLOOKUP($B95,'Weighted Scoring'!$A$5:$A$13,'Weighted Scoring'!$I$5:$O$13))*100))</f>
        <v/>
      </c>
      <c r="W95" s="128">
        <f>IF($A95="","",V95-U95)</f>
        <v/>
      </c>
      <c r="X95" s="125">
        <f>IF($A95="","",IFS(W95&gt;=40,"Stable Orbit",W95&gt;=15,"Controlled Orbit",W95&gt;=-14,"Edge Orbit",W95&gt;=-39,"Unstable Orbit",TRUE,"Critical Orbit"))</f>
        <v/>
      </c>
      <c r="Y95" s="125">
        <f>IF($A95="","",XLOOKUP(X95,'Deployment Gates'!$A$5:$A$9,'Deployment Gates'!$C$5:$C$9))</f>
        <v/>
      </c>
      <c r="Z95" s="125" t="n"/>
      <c r="AA95" s="125">
        <f>IF($A95="","",IF(OR(X95="Edge Orbit",X95="Unstable Orbit",X95="Critical Orbit",H95&gt;=4,G95&gt;=4,E95&gt;=4,J95&gt;=4),"Yes","No"))</f>
        <v/>
      </c>
      <c r="AB95" s="125">
        <f>IF($A95="","",IF(W95&lt;0,"Yes","No"))</f>
        <v/>
      </c>
      <c r="AC95" s="125">
        <f>IF($A95="","",INDEX($L$4:$R$4,1,MATCH(MIN(L95:R95),L95:R95,0)))</f>
        <v/>
      </c>
      <c r="AD95" s="125">
        <f>IF($A95="","",INDEX($E$4:$K$4,1,MATCH(MAX(E95:K95),E95:K95,0)))</f>
        <v/>
      </c>
      <c r="AE95" s="125">
        <f>IF($A95="","",XLOOKUP(AC95,'Control Uplift Planner'!$A$5:$A$11,'Control Uplift Planner'!$B$5:$B$11))</f>
        <v/>
      </c>
      <c r="AF95" s="131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>
        <f>IF(AND(MAX(L96:R96)&gt;3,S96&lt;3),"Warning: EGI &gt;3 needs Tier 3+ evidence",IF(AND(C96="Autonomous Operations Zone",S96&lt;4),"Warning: Autonomous zone needs Tier 4 evidence","OK"))</f>
        <v/>
      </c>
      <c r="U96" s="128">
        <f>IF($A96="","",IF($D96="Basic",SUM(E96:K96)/35*100,SUMPRODUCT(E96:K96,XLOOKUP($B96,'Weighted Scoring'!$A$5:$A$13,'Weighted Scoring'!$B$5:$H$13))/SUMPRODUCT(5,XLOOKUP($B96,'Weighted Scoring'!$A$5:$A$13,'Weighted Scoring'!$B$5:$H$13))*100))</f>
        <v/>
      </c>
      <c r="V96" s="128">
        <f>IF($A96="","",IF($D96="Basic",SUM(L96:R96)/35*100,SUMPRODUCT(L96:R96,XLOOKUP($B96,'Weighted Scoring'!$A$5:$A$13,'Weighted Scoring'!$I$5:$O$13))/SUMPRODUCT(5,XLOOKUP($B96,'Weighted Scoring'!$A$5:$A$13,'Weighted Scoring'!$I$5:$O$13))*100))</f>
        <v/>
      </c>
      <c r="W96" s="128">
        <f>IF($A96="","",V96-U96)</f>
        <v/>
      </c>
      <c r="X96" s="125">
        <f>IF($A96="","",IFS(W96&gt;=40,"Stable Orbit",W96&gt;=15,"Controlled Orbit",W96&gt;=-14,"Edge Orbit",W96&gt;=-39,"Unstable Orbit",TRUE,"Critical Orbit"))</f>
        <v/>
      </c>
      <c r="Y96" s="125">
        <f>IF($A96="","",XLOOKUP(X96,'Deployment Gates'!$A$5:$A$9,'Deployment Gates'!$C$5:$C$9))</f>
        <v/>
      </c>
      <c r="Z96" s="125" t="n"/>
      <c r="AA96" s="125">
        <f>IF($A96="","",IF(OR(X96="Edge Orbit",X96="Unstable Orbit",X96="Critical Orbit",H96&gt;=4,G96&gt;=4,E96&gt;=4,J96&gt;=4),"Yes","No"))</f>
        <v/>
      </c>
      <c r="AB96" s="125">
        <f>IF($A96="","",IF(W96&lt;0,"Yes","No"))</f>
        <v/>
      </c>
      <c r="AC96" s="125">
        <f>IF($A96="","",INDEX($L$4:$R$4,1,MATCH(MIN(L96:R96),L96:R96,0)))</f>
        <v/>
      </c>
      <c r="AD96" s="125">
        <f>IF($A96="","",INDEX($E$4:$K$4,1,MATCH(MAX(E96:K96),E96:K96,0)))</f>
        <v/>
      </c>
      <c r="AE96" s="125">
        <f>IF($A96="","",XLOOKUP(AC96,'Control Uplift Planner'!$A$5:$A$11,'Control Uplift Planner'!$B$5:$B$11))</f>
        <v/>
      </c>
      <c r="AF96" s="131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>
        <f>IF(AND(MAX(L97:R97)&gt;3,S97&lt;3),"Warning: EGI &gt;3 needs Tier 3+ evidence",IF(AND(C97="Autonomous Operations Zone",S97&lt;4),"Warning: Autonomous zone needs Tier 4 evidence","OK"))</f>
        <v/>
      </c>
      <c r="U97" s="128">
        <f>IF($A97="","",IF($D97="Basic",SUM(E97:K97)/35*100,SUMPRODUCT(E97:K97,XLOOKUP($B97,'Weighted Scoring'!$A$5:$A$13,'Weighted Scoring'!$B$5:$H$13))/SUMPRODUCT(5,XLOOKUP($B97,'Weighted Scoring'!$A$5:$A$13,'Weighted Scoring'!$B$5:$H$13))*100))</f>
        <v/>
      </c>
      <c r="V97" s="128">
        <f>IF($A97="","",IF($D97="Basic",SUM(L97:R97)/35*100,SUMPRODUCT(L97:R97,XLOOKUP($B97,'Weighted Scoring'!$A$5:$A$13,'Weighted Scoring'!$I$5:$O$13))/SUMPRODUCT(5,XLOOKUP($B97,'Weighted Scoring'!$A$5:$A$13,'Weighted Scoring'!$I$5:$O$13))*100))</f>
        <v/>
      </c>
      <c r="W97" s="128">
        <f>IF($A97="","",V97-U97)</f>
        <v/>
      </c>
      <c r="X97" s="125">
        <f>IF($A97="","",IFS(W97&gt;=40,"Stable Orbit",W97&gt;=15,"Controlled Orbit",W97&gt;=-14,"Edge Orbit",W97&gt;=-39,"Unstable Orbit",TRUE,"Critical Orbit"))</f>
        <v/>
      </c>
      <c r="Y97" s="125">
        <f>IF($A97="","",XLOOKUP(X97,'Deployment Gates'!$A$5:$A$9,'Deployment Gates'!$C$5:$C$9))</f>
        <v/>
      </c>
      <c r="Z97" s="125" t="n"/>
      <c r="AA97" s="125">
        <f>IF($A97="","",IF(OR(X97="Edge Orbit",X97="Unstable Orbit",X97="Critical Orbit",H97&gt;=4,G97&gt;=4,E97&gt;=4,J97&gt;=4),"Yes","No"))</f>
        <v/>
      </c>
      <c r="AB97" s="125">
        <f>IF($A97="","",IF(W97&lt;0,"Yes","No"))</f>
        <v/>
      </c>
      <c r="AC97" s="125">
        <f>IF($A97="","",INDEX($L$4:$R$4,1,MATCH(MIN(L97:R97),L97:R97,0)))</f>
        <v/>
      </c>
      <c r="AD97" s="125">
        <f>IF($A97="","",INDEX($E$4:$K$4,1,MATCH(MAX(E97:K97),E97:K97,0)))</f>
        <v/>
      </c>
      <c r="AE97" s="125">
        <f>IF($A97="","",XLOOKUP(AC97,'Control Uplift Planner'!$A$5:$A$11,'Control Uplift Planner'!$B$5:$B$11))</f>
        <v/>
      </c>
      <c r="AF97" s="131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>
        <f>IF(AND(MAX(L98:R98)&gt;3,S98&lt;3),"Warning: EGI &gt;3 needs Tier 3+ evidence",IF(AND(C98="Autonomous Operations Zone",S98&lt;4),"Warning: Autonomous zone needs Tier 4 evidence","OK"))</f>
        <v/>
      </c>
      <c r="U98" s="128">
        <f>IF($A98="","",IF($D98="Basic",SUM(E98:K98)/35*100,SUMPRODUCT(E98:K98,XLOOKUP($B98,'Weighted Scoring'!$A$5:$A$13,'Weighted Scoring'!$B$5:$H$13))/SUMPRODUCT(5,XLOOKUP($B98,'Weighted Scoring'!$A$5:$A$13,'Weighted Scoring'!$B$5:$H$13))*100))</f>
        <v/>
      </c>
      <c r="V98" s="128">
        <f>IF($A98="","",IF($D98="Basic",SUM(L98:R98)/35*100,SUMPRODUCT(L98:R98,XLOOKUP($B98,'Weighted Scoring'!$A$5:$A$13,'Weighted Scoring'!$I$5:$O$13))/SUMPRODUCT(5,XLOOKUP($B98,'Weighted Scoring'!$A$5:$A$13,'Weighted Scoring'!$I$5:$O$13))*100))</f>
        <v/>
      </c>
      <c r="W98" s="128">
        <f>IF($A98="","",V98-U98)</f>
        <v/>
      </c>
      <c r="X98" s="125">
        <f>IF($A98="","",IFS(W98&gt;=40,"Stable Orbit",W98&gt;=15,"Controlled Orbit",W98&gt;=-14,"Edge Orbit",W98&gt;=-39,"Unstable Orbit",TRUE,"Critical Orbit"))</f>
        <v/>
      </c>
      <c r="Y98" s="125">
        <f>IF($A98="","",XLOOKUP(X98,'Deployment Gates'!$A$5:$A$9,'Deployment Gates'!$C$5:$C$9))</f>
        <v/>
      </c>
      <c r="Z98" s="125" t="n"/>
      <c r="AA98" s="125">
        <f>IF($A98="","",IF(OR(X98="Edge Orbit",X98="Unstable Orbit",X98="Critical Orbit",H98&gt;=4,G98&gt;=4,E98&gt;=4,J98&gt;=4),"Yes","No"))</f>
        <v/>
      </c>
      <c r="AB98" s="125">
        <f>IF($A98="","",IF(W98&lt;0,"Yes","No"))</f>
        <v/>
      </c>
      <c r="AC98" s="125">
        <f>IF($A98="","",INDEX($L$4:$R$4,1,MATCH(MIN(L98:R98),L98:R98,0)))</f>
        <v/>
      </c>
      <c r="AD98" s="125">
        <f>IF($A98="","",INDEX($E$4:$K$4,1,MATCH(MAX(E98:K98),E98:K98,0)))</f>
        <v/>
      </c>
      <c r="AE98" s="125">
        <f>IF($A98="","",XLOOKUP(AC98,'Control Uplift Planner'!$A$5:$A$11,'Control Uplift Planner'!$B$5:$B$11))</f>
        <v/>
      </c>
      <c r="AF98" s="131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>
        <f>IF(AND(MAX(L99:R99)&gt;3,S99&lt;3),"Warning: EGI &gt;3 needs Tier 3+ evidence",IF(AND(C99="Autonomous Operations Zone",S99&lt;4),"Warning: Autonomous zone needs Tier 4 evidence","OK"))</f>
        <v/>
      </c>
      <c r="U99" s="128">
        <f>IF($A99="","",IF($D99="Basic",SUM(E99:K99)/35*100,SUMPRODUCT(E99:K99,XLOOKUP($B99,'Weighted Scoring'!$A$5:$A$13,'Weighted Scoring'!$B$5:$H$13))/SUMPRODUCT(5,XLOOKUP($B99,'Weighted Scoring'!$A$5:$A$13,'Weighted Scoring'!$B$5:$H$13))*100))</f>
        <v/>
      </c>
      <c r="V99" s="128">
        <f>IF($A99="","",IF($D99="Basic",SUM(L99:R99)/35*100,SUMPRODUCT(L99:R99,XLOOKUP($B99,'Weighted Scoring'!$A$5:$A$13,'Weighted Scoring'!$I$5:$O$13))/SUMPRODUCT(5,XLOOKUP($B99,'Weighted Scoring'!$A$5:$A$13,'Weighted Scoring'!$I$5:$O$13))*100))</f>
        <v/>
      </c>
      <c r="W99" s="128">
        <f>IF($A99="","",V99-U99)</f>
        <v/>
      </c>
      <c r="X99" s="125">
        <f>IF($A99="","",IFS(W99&gt;=40,"Stable Orbit",W99&gt;=15,"Controlled Orbit",W99&gt;=-14,"Edge Orbit",W99&gt;=-39,"Unstable Orbit",TRUE,"Critical Orbit"))</f>
        <v/>
      </c>
      <c r="Y99" s="125">
        <f>IF($A99="","",XLOOKUP(X99,'Deployment Gates'!$A$5:$A$9,'Deployment Gates'!$C$5:$C$9))</f>
        <v/>
      </c>
      <c r="Z99" s="125" t="n"/>
      <c r="AA99" s="125">
        <f>IF($A99="","",IF(OR(X99="Edge Orbit",X99="Unstable Orbit",X99="Critical Orbit",H99&gt;=4,G99&gt;=4,E99&gt;=4,J99&gt;=4),"Yes","No"))</f>
        <v/>
      </c>
      <c r="AB99" s="125">
        <f>IF($A99="","",IF(W99&lt;0,"Yes","No"))</f>
        <v/>
      </c>
      <c r="AC99" s="125">
        <f>IF($A99="","",INDEX($L$4:$R$4,1,MATCH(MIN(L99:R99),L99:R99,0)))</f>
        <v/>
      </c>
      <c r="AD99" s="125">
        <f>IF($A99="","",INDEX($E$4:$K$4,1,MATCH(MAX(E99:K99),E99:K99,0)))</f>
        <v/>
      </c>
      <c r="AE99" s="125">
        <f>IF($A99="","",XLOOKUP(AC99,'Control Uplift Planner'!$A$5:$A$11,'Control Uplift Planner'!$B$5:$B$11))</f>
        <v/>
      </c>
      <c r="AF99" s="131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>
        <f>IF(AND(MAX(L100:R100)&gt;3,S100&lt;3),"Warning: EGI &gt;3 needs Tier 3+ evidence",IF(AND(C100="Autonomous Operations Zone",S100&lt;4),"Warning: Autonomous zone needs Tier 4 evidence","OK"))</f>
        <v/>
      </c>
      <c r="U100" s="128">
        <f>IF($A100="","",IF($D100="Basic",SUM(E100:K100)/35*100,SUMPRODUCT(E100:K100,XLOOKUP($B100,'Weighted Scoring'!$A$5:$A$13,'Weighted Scoring'!$B$5:$H$13))/SUMPRODUCT(5,XLOOKUP($B100,'Weighted Scoring'!$A$5:$A$13,'Weighted Scoring'!$B$5:$H$13))*100))</f>
        <v/>
      </c>
      <c r="V100" s="128">
        <f>IF($A100="","",IF($D100="Basic",SUM(L100:R100)/35*100,SUMPRODUCT(L100:R100,XLOOKUP($B100,'Weighted Scoring'!$A$5:$A$13,'Weighted Scoring'!$I$5:$O$13))/SUMPRODUCT(5,XLOOKUP($B100,'Weighted Scoring'!$A$5:$A$13,'Weighted Scoring'!$I$5:$O$13))*100))</f>
        <v/>
      </c>
      <c r="W100" s="128">
        <f>IF($A100="","",V100-U100)</f>
        <v/>
      </c>
      <c r="X100" s="125">
        <f>IF($A100="","",IFS(W100&gt;=40,"Stable Orbit",W100&gt;=15,"Controlled Orbit",W100&gt;=-14,"Edge Orbit",W100&gt;=-39,"Unstable Orbit",TRUE,"Critical Orbit"))</f>
        <v/>
      </c>
      <c r="Y100" s="125">
        <f>IF($A100="","",XLOOKUP(X100,'Deployment Gates'!$A$5:$A$9,'Deployment Gates'!$C$5:$C$9))</f>
        <v/>
      </c>
      <c r="Z100" s="125" t="n"/>
      <c r="AA100" s="125">
        <f>IF($A100="","",IF(OR(X100="Edge Orbit",X100="Unstable Orbit",X100="Critical Orbit",H100&gt;=4,G100&gt;=4,E100&gt;=4,J100&gt;=4),"Yes","No"))</f>
        <v/>
      </c>
      <c r="AB100" s="125">
        <f>IF($A100="","",IF(W100&lt;0,"Yes","No"))</f>
        <v/>
      </c>
      <c r="AC100" s="125">
        <f>IF($A100="","",INDEX($L$4:$R$4,1,MATCH(MIN(L100:R100),L100:R100,0)))</f>
        <v/>
      </c>
      <c r="AD100" s="125">
        <f>IF($A100="","",INDEX($E$4:$K$4,1,MATCH(MAX(E100:K100),E100:K100,0)))</f>
        <v/>
      </c>
      <c r="AE100" s="125">
        <f>IF($A100="","",XLOOKUP(AC100,'Control Uplift Planner'!$A$5:$A$11,'Control Uplift Planner'!$B$5:$B$11))</f>
        <v/>
      </c>
      <c r="AF100" s="131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>
        <f>IF(AND(MAX(L101:R101)&gt;3,S101&lt;3),"Warning: EGI &gt;3 needs Tier 3+ evidence",IF(AND(C101="Autonomous Operations Zone",S101&lt;4),"Warning: Autonomous zone needs Tier 4 evidence","OK"))</f>
        <v/>
      </c>
      <c r="U101" s="128">
        <f>IF($A101="","",IF($D101="Basic",SUM(E101:K101)/35*100,SUMPRODUCT(E101:K101,XLOOKUP($B101,'Weighted Scoring'!$A$5:$A$13,'Weighted Scoring'!$B$5:$H$13))/SUMPRODUCT(5,XLOOKUP($B101,'Weighted Scoring'!$A$5:$A$13,'Weighted Scoring'!$B$5:$H$13))*100))</f>
        <v/>
      </c>
      <c r="V101" s="128">
        <f>IF($A101="","",IF($D101="Basic",SUM(L101:R101)/35*100,SUMPRODUCT(L101:R101,XLOOKUP($B101,'Weighted Scoring'!$A$5:$A$13,'Weighted Scoring'!$I$5:$O$13))/SUMPRODUCT(5,XLOOKUP($B101,'Weighted Scoring'!$A$5:$A$13,'Weighted Scoring'!$I$5:$O$13))*100))</f>
        <v/>
      </c>
      <c r="W101" s="128">
        <f>IF($A101="","",V101-U101)</f>
        <v/>
      </c>
      <c r="X101" s="125">
        <f>IF($A101="","",IFS(W101&gt;=40,"Stable Orbit",W101&gt;=15,"Controlled Orbit",W101&gt;=-14,"Edge Orbit",W101&gt;=-39,"Unstable Orbit",TRUE,"Critical Orbit"))</f>
        <v/>
      </c>
      <c r="Y101" s="125">
        <f>IF($A101="","",XLOOKUP(X101,'Deployment Gates'!$A$5:$A$9,'Deployment Gates'!$C$5:$C$9))</f>
        <v/>
      </c>
      <c r="Z101" s="125" t="n"/>
      <c r="AA101" s="125">
        <f>IF($A101="","",IF(OR(X101="Edge Orbit",X101="Unstable Orbit",X101="Critical Orbit",H101&gt;=4,G101&gt;=4,E101&gt;=4,J101&gt;=4),"Yes","No"))</f>
        <v/>
      </c>
      <c r="AB101" s="125">
        <f>IF($A101="","",IF(W101&lt;0,"Yes","No"))</f>
        <v/>
      </c>
      <c r="AC101" s="125">
        <f>IF($A101="","",INDEX($L$4:$R$4,1,MATCH(MIN(L101:R101),L101:R101,0)))</f>
        <v/>
      </c>
      <c r="AD101" s="125">
        <f>IF($A101="","",INDEX($E$4:$K$4,1,MATCH(MAX(E101:K101),E101:K101,0)))</f>
        <v/>
      </c>
      <c r="AE101" s="125">
        <f>IF($A101="","",XLOOKUP(AC101,'Control Uplift Planner'!$A$5:$A$11,'Control Uplift Planner'!$B$5:$B$11))</f>
        <v/>
      </c>
      <c r="AF101" s="131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>
        <f>IF(AND(MAX(L102:R102)&gt;3,S102&lt;3),"Warning: EGI &gt;3 needs Tier 3+ evidence",IF(AND(C102="Autonomous Operations Zone",S102&lt;4),"Warning: Autonomous zone needs Tier 4 evidence","OK"))</f>
        <v/>
      </c>
      <c r="U102" s="128">
        <f>IF($A102="","",IF($D102="Basic",SUM(E102:K102)/35*100,SUMPRODUCT(E102:K102,XLOOKUP($B102,'Weighted Scoring'!$A$5:$A$13,'Weighted Scoring'!$B$5:$H$13))/SUMPRODUCT(5,XLOOKUP($B102,'Weighted Scoring'!$A$5:$A$13,'Weighted Scoring'!$B$5:$H$13))*100))</f>
        <v/>
      </c>
      <c r="V102" s="128">
        <f>IF($A102="","",IF($D102="Basic",SUM(L102:R102)/35*100,SUMPRODUCT(L102:R102,XLOOKUP($B102,'Weighted Scoring'!$A$5:$A$13,'Weighted Scoring'!$I$5:$O$13))/SUMPRODUCT(5,XLOOKUP($B102,'Weighted Scoring'!$A$5:$A$13,'Weighted Scoring'!$I$5:$O$13))*100))</f>
        <v/>
      </c>
      <c r="W102" s="128">
        <f>IF($A102="","",V102-U102)</f>
        <v/>
      </c>
      <c r="X102" s="125">
        <f>IF($A102="","",IFS(W102&gt;=40,"Stable Orbit",W102&gt;=15,"Controlled Orbit",W102&gt;=-14,"Edge Orbit",W102&gt;=-39,"Unstable Orbit",TRUE,"Critical Orbit"))</f>
        <v/>
      </c>
      <c r="Y102" s="125">
        <f>IF($A102="","",XLOOKUP(X102,'Deployment Gates'!$A$5:$A$9,'Deployment Gates'!$C$5:$C$9))</f>
        <v/>
      </c>
      <c r="Z102" s="125" t="n"/>
      <c r="AA102" s="125">
        <f>IF($A102="","",IF(OR(X102="Edge Orbit",X102="Unstable Orbit",X102="Critical Orbit",H102&gt;=4,G102&gt;=4,E102&gt;=4,J102&gt;=4),"Yes","No"))</f>
        <v/>
      </c>
      <c r="AB102" s="125">
        <f>IF($A102="","",IF(W102&lt;0,"Yes","No"))</f>
        <v/>
      </c>
      <c r="AC102" s="125">
        <f>IF($A102="","",INDEX($L$4:$R$4,1,MATCH(MIN(L102:R102),L102:R102,0)))</f>
        <v/>
      </c>
      <c r="AD102" s="125">
        <f>IF($A102="","",INDEX($E$4:$K$4,1,MATCH(MAX(E102:K102),E102:K102,0)))</f>
        <v/>
      </c>
      <c r="AE102" s="125">
        <f>IF($A102="","",XLOOKUP(AC102,'Control Uplift Planner'!$A$5:$A$11,'Control Uplift Planner'!$B$5:$B$11))</f>
        <v/>
      </c>
      <c r="AF102" s="131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>
        <f>IF(AND(MAX(L103:R103)&gt;3,S103&lt;3),"Warning: EGI &gt;3 needs Tier 3+ evidence",IF(AND(C103="Autonomous Operations Zone",S103&lt;4),"Warning: Autonomous zone needs Tier 4 evidence","OK"))</f>
        <v/>
      </c>
      <c r="U103" s="128">
        <f>IF($A103="","",IF($D103="Basic",SUM(E103:K103)/35*100,SUMPRODUCT(E103:K103,XLOOKUP($B103,'Weighted Scoring'!$A$5:$A$13,'Weighted Scoring'!$B$5:$H$13))/SUMPRODUCT(5,XLOOKUP($B103,'Weighted Scoring'!$A$5:$A$13,'Weighted Scoring'!$B$5:$H$13))*100))</f>
        <v/>
      </c>
      <c r="V103" s="128">
        <f>IF($A103="","",IF($D103="Basic",SUM(L103:R103)/35*100,SUMPRODUCT(L103:R103,XLOOKUP($B103,'Weighted Scoring'!$A$5:$A$13,'Weighted Scoring'!$I$5:$O$13))/SUMPRODUCT(5,XLOOKUP($B103,'Weighted Scoring'!$A$5:$A$13,'Weighted Scoring'!$I$5:$O$13))*100))</f>
        <v/>
      </c>
      <c r="W103" s="128">
        <f>IF($A103="","",V103-U103)</f>
        <v/>
      </c>
      <c r="X103" s="125">
        <f>IF($A103="","",IFS(W103&gt;=40,"Stable Orbit",W103&gt;=15,"Controlled Orbit",W103&gt;=-14,"Edge Orbit",W103&gt;=-39,"Unstable Orbit",TRUE,"Critical Orbit"))</f>
        <v/>
      </c>
      <c r="Y103" s="125">
        <f>IF($A103="","",XLOOKUP(X103,'Deployment Gates'!$A$5:$A$9,'Deployment Gates'!$C$5:$C$9))</f>
        <v/>
      </c>
      <c r="Z103" s="125" t="n"/>
      <c r="AA103" s="125">
        <f>IF($A103="","",IF(OR(X103="Edge Orbit",X103="Unstable Orbit",X103="Critical Orbit",H103&gt;=4,G103&gt;=4,E103&gt;=4,J103&gt;=4),"Yes","No"))</f>
        <v/>
      </c>
      <c r="AB103" s="125">
        <f>IF($A103="","",IF(W103&lt;0,"Yes","No"))</f>
        <v/>
      </c>
      <c r="AC103" s="125">
        <f>IF($A103="","",INDEX($L$4:$R$4,1,MATCH(MIN(L103:R103),L103:R103,0)))</f>
        <v/>
      </c>
      <c r="AD103" s="125">
        <f>IF($A103="","",INDEX($E$4:$K$4,1,MATCH(MAX(E103:K103),E103:K103,0)))</f>
        <v/>
      </c>
      <c r="AE103" s="125">
        <f>IF($A103="","",XLOOKUP(AC103,'Control Uplift Planner'!$A$5:$A$11,'Control Uplift Planner'!$B$5:$B$11))</f>
        <v/>
      </c>
      <c r="AF103" s="131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>
        <f>IF(AND(MAX(L104:R104)&gt;3,S104&lt;3),"Warning: EGI &gt;3 needs Tier 3+ evidence",IF(AND(C104="Autonomous Operations Zone",S104&lt;4),"Warning: Autonomous zone needs Tier 4 evidence","OK"))</f>
        <v/>
      </c>
      <c r="U104" s="128">
        <f>IF($A104="","",IF($D104="Basic",SUM(E104:K104)/35*100,SUMPRODUCT(E104:K104,XLOOKUP($B104,'Weighted Scoring'!$A$5:$A$13,'Weighted Scoring'!$B$5:$H$13))/SUMPRODUCT(5,XLOOKUP($B104,'Weighted Scoring'!$A$5:$A$13,'Weighted Scoring'!$B$5:$H$13))*100))</f>
        <v/>
      </c>
      <c r="V104" s="128">
        <f>IF($A104="","",IF($D104="Basic",SUM(L104:R104)/35*100,SUMPRODUCT(L104:R104,XLOOKUP($B104,'Weighted Scoring'!$A$5:$A$13,'Weighted Scoring'!$I$5:$O$13))/SUMPRODUCT(5,XLOOKUP($B104,'Weighted Scoring'!$A$5:$A$13,'Weighted Scoring'!$I$5:$O$13))*100))</f>
        <v/>
      </c>
      <c r="W104" s="128">
        <f>IF($A104="","",V104-U104)</f>
        <v/>
      </c>
      <c r="X104" s="125">
        <f>IF($A104="","",IFS(W104&gt;=40,"Stable Orbit",W104&gt;=15,"Controlled Orbit",W104&gt;=-14,"Edge Orbit",W104&gt;=-39,"Unstable Orbit",TRUE,"Critical Orbit"))</f>
        <v/>
      </c>
      <c r="Y104" s="125">
        <f>IF($A104="","",XLOOKUP(X104,'Deployment Gates'!$A$5:$A$9,'Deployment Gates'!$C$5:$C$9))</f>
        <v/>
      </c>
      <c r="Z104" s="125" t="n"/>
      <c r="AA104" s="125">
        <f>IF($A104="","",IF(OR(X104="Edge Orbit",X104="Unstable Orbit",X104="Critical Orbit",H104&gt;=4,G104&gt;=4,E104&gt;=4,J104&gt;=4),"Yes","No"))</f>
        <v/>
      </c>
      <c r="AB104" s="125">
        <f>IF($A104="","",IF(W104&lt;0,"Yes","No"))</f>
        <v/>
      </c>
      <c r="AC104" s="125">
        <f>IF($A104="","",INDEX($L$4:$R$4,1,MATCH(MIN(L104:R104),L104:R104,0)))</f>
        <v/>
      </c>
      <c r="AD104" s="125">
        <f>IF($A104="","",INDEX($E$4:$K$4,1,MATCH(MAX(E104:K104),E104:K104,0)))</f>
        <v/>
      </c>
      <c r="AE104" s="125">
        <f>IF($A104="","",XLOOKUP(AC104,'Control Uplift Planner'!$A$5:$A$11,'Control Uplift Planner'!$B$5:$B$11))</f>
        <v/>
      </c>
      <c r="AF104" s="131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conditionalFormatting sqref="W5:W104">
    <cfRule type="cellIs" priority="1" operator="lessThan" dxfId="1">
      <formula>0</formula>
    </cfRule>
  </conditionalFormatting>
  <conditionalFormatting sqref="X5:X104">
    <cfRule type="expression" priority="2" dxfId="0">
      <formula>X5="Edge Orbit"</formula>
    </cfRule>
    <cfRule type="expression" priority="3" dxfId="1">
      <formula>OR(X5="Unstable Orbit",X5="Critical Orbit")</formula>
    </cfRule>
  </conditionalFormatting>
  <conditionalFormatting sqref="T5:T104">
    <cfRule type="expression" priority="4" dxfId="1">
      <formula>LEFT(T5,7)="Warning"</formula>
    </cfRule>
  </conditionalFormatting>
  <dataValidations count="6">
    <dataValidation sqref="D5:D104" showDropDown="0" showInputMessage="0" showErrorMessage="0" allowBlank="0" type="list">
      <formula1>"Basic,Advanced"</formula1>
    </dataValidation>
    <dataValidation sqref="E5:R104" showDropDown="0" showInputMessage="0" showErrorMessage="0" allowBlank="0" type="list">
      <formula1>"0,1,2,3,4,5"</formula1>
    </dataValidation>
    <dataValidation sqref="S5:S104" showDropDown="0" showInputMessage="0" showErrorMessage="0" allowBlank="0" type="list">
      <formula1>"0,1,2,3,4,5"</formula1>
    </dataValidation>
    <dataValidation sqref="Z5:Z104" showDropDown="0" showInputMessage="0" showErrorMessage="0" allowBlank="0" type="list">
      <formula1>"Yes,No"</formula1>
    </dataValidation>
    <dataValidation sqref="B5:B104" showDropDown="0" showInputMessage="0" showErrorMessage="0" allowBlank="0" type="list">
      <formula1>'Weighted Scoring'!$A$5:$A$13</formula1>
    </dataValidation>
    <dataValidation sqref="C5:C104" showDropDown="0" showInputMessage="0" showErrorMessage="0" allowBlank="0" type="list">
      <formula1>"Sandbox Zone,Assisted Zone,Governed Operations Zone,Autonomous Operations Zone"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5" customWidth="1" style="99" min="1" max="1"/>
    <col width="16" customWidth="1" style="99" min="2" max="2"/>
    <col width="16" customWidth="1" style="99" min="3" max="3"/>
    <col width="16" customWidth="1" style="99" min="4" max="4"/>
    <col width="18" customWidth="1" style="99" min="5" max="5"/>
    <col width="14" customWidth="1" style="99" min="6" max="6"/>
    <col width="20" customWidth="1" style="99" min="7" max="7"/>
    <col width="20" customWidth="1" style="99" min="8" max="8"/>
    <col width="14" customWidth="1" style="99" min="9" max="9"/>
    <col width="16" customWidth="1" style="99" min="10" max="10"/>
    <col width="18" customWidth="1" style="99" min="11" max="11"/>
    <col width="16" customWidth="1" style="99" min="12" max="12"/>
    <col width="22" customWidth="1" style="99" min="13" max="13"/>
    <col width="20" customWidth="1" style="99" min="14" max="14"/>
    <col width="20" customWidth="1" style="99" min="15" max="15"/>
  </cols>
  <sheetData>
    <row r="1" ht="38.40000152587891" customHeight="1" s="99">
      <c r="A1" s="56" t="inlineStr">
        <is>
          <t>Advanced Mode Weights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24" customHeight="1" s="99">
      <c r="A2" s="58" t="inlineStr">
        <is>
          <t>Weights are applied only when Scoring Mode = Advanced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Domain Overlay</t>
        </is>
      </c>
      <c r="B4" s="127" t="inlineStr">
        <is>
          <t>Decision Autonomy</t>
        </is>
      </c>
      <c r="C4" s="127" t="inlineStr">
        <is>
          <t>Decision Velocity</t>
        </is>
      </c>
      <c r="D4" s="127" t="inlineStr">
        <is>
          <t>Operational Reach</t>
        </is>
      </c>
      <c r="E4" s="127" t="inlineStr">
        <is>
          <t>Operational Criticality</t>
        </is>
      </c>
      <c r="F4" s="127" t="inlineStr">
        <is>
          <t>Adaptability</t>
        </is>
      </c>
      <c r="G4" s="127" t="inlineStr">
        <is>
          <t>Collaboration Complexity</t>
        </is>
      </c>
      <c r="H4" s="127" t="inlineStr">
        <is>
          <t>Persistence and Memory</t>
        </is>
      </c>
      <c r="I4" s="127" t="inlineStr">
        <is>
          <t>Identity</t>
        </is>
      </c>
      <c r="J4" s="127" t="inlineStr">
        <is>
          <t>Authorization</t>
        </is>
      </c>
      <c r="K4" s="127" t="inlineStr">
        <is>
          <t>Policy Enforcement</t>
        </is>
      </c>
      <c r="L4" s="127" t="inlineStr">
        <is>
          <t>Observability</t>
        </is>
      </c>
      <c r="M4" s="127" t="inlineStr">
        <is>
          <t>Governance and Lifecycle</t>
        </is>
      </c>
      <c r="N4" s="127" t="inlineStr">
        <is>
          <t>Recovery and Resilience</t>
        </is>
      </c>
      <c r="O4" s="127" t="inlineStr">
        <is>
          <t>Assurance and Evaluation</t>
        </is>
      </c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Knowledge / Documentation</t>
        </is>
      </c>
      <c r="B5" s="128" t="n">
        <v>1</v>
      </c>
      <c r="C5" s="128" t="n">
        <v>1</v>
      </c>
      <c r="D5" s="128" t="n">
        <v>1</v>
      </c>
      <c r="E5" s="128" t="n">
        <v>1</v>
      </c>
      <c r="F5" s="128" t="n">
        <v>1</v>
      </c>
      <c r="G5" s="128" t="n">
        <v>1</v>
      </c>
      <c r="H5" s="128" t="n">
        <v>1</v>
      </c>
      <c r="I5" s="128" t="n">
        <v>1</v>
      </c>
      <c r="J5" s="128" t="n">
        <v>1</v>
      </c>
      <c r="K5" s="128" t="n">
        <v>1</v>
      </c>
      <c r="L5" s="128" t="n">
        <v>1</v>
      </c>
      <c r="M5" s="128" t="n">
        <v>1</v>
      </c>
      <c r="N5" s="128" t="n">
        <v>1</v>
      </c>
      <c r="O5" s="128" t="n">
        <v>1</v>
      </c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API Governance</t>
        </is>
      </c>
      <c r="B6" s="128" t="n">
        <v>1.4</v>
      </c>
      <c r="C6" s="128" t="n">
        <v>1</v>
      </c>
      <c r="D6" s="128" t="n">
        <v>1.5</v>
      </c>
      <c r="E6" s="128" t="n">
        <v>1.4</v>
      </c>
      <c r="F6" s="128" t="n">
        <v>1.2</v>
      </c>
      <c r="G6" s="128" t="n">
        <v>1</v>
      </c>
      <c r="H6" s="128" t="n">
        <v>1</v>
      </c>
      <c r="I6" s="128" t="n">
        <v>1.2</v>
      </c>
      <c r="J6" s="128" t="n">
        <v>1.4</v>
      </c>
      <c r="K6" s="128" t="n">
        <v>1.8</v>
      </c>
      <c r="L6" s="128" t="n">
        <v>1.6</v>
      </c>
      <c r="M6" s="128" t="n">
        <v>1.6</v>
      </c>
      <c r="N6" s="128" t="n">
        <v>1.1</v>
      </c>
      <c r="O6" s="128" t="n">
        <v>1.4</v>
      </c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Software Delivery</t>
        </is>
      </c>
      <c r="B7" s="128" t="n">
        <v>1.6</v>
      </c>
      <c r="C7" s="128" t="n">
        <v>1.2</v>
      </c>
      <c r="D7" s="128" t="n">
        <v>1.6</v>
      </c>
      <c r="E7" s="128" t="n">
        <v>1.8</v>
      </c>
      <c r="F7" s="128" t="n">
        <v>1.4</v>
      </c>
      <c r="G7" s="128" t="n">
        <v>1.3</v>
      </c>
      <c r="H7" s="128" t="n">
        <v>1</v>
      </c>
      <c r="I7" s="128" t="n">
        <v>1.3</v>
      </c>
      <c r="J7" s="128" t="n">
        <v>1.5</v>
      </c>
      <c r="K7" s="128" t="n">
        <v>1.9</v>
      </c>
      <c r="L7" s="128" t="n">
        <v>1.8</v>
      </c>
      <c r="M7" s="128" t="n">
        <v>1.2</v>
      </c>
      <c r="N7" s="128" t="n">
        <v>1.8</v>
      </c>
      <c r="O7" s="128" t="n">
        <v>1.7</v>
      </c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Cloud / Infrastructure</t>
        </is>
      </c>
      <c r="B8" s="128" t="n">
        <v>1.7</v>
      </c>
      <c r="C8" s="128" t="n">
        <v>1.5</v>
      </c>
      <c r="D8" s="128" t="n">
        <v>1.8</v>
      </c>
      <c r="E8" s="128" t="n">
        <v>1.9</v>
      </c>
      <c r="F8" s="128" t="n">
        <v>1.4</v>
      </c>
      <c r="G8" s="128" t="n">
        <v>1.2</v>
      </c>
      <c r="H8" s="128" t="n">
        <v>1.2</v>
      </c>
      <c r="I8" s="128" t="n">
        <v>1.5</v>
      </c>
      <c r="J8" s="128" t="n">
        <v>1.8</v>
      </c>
      <c r="K8" s="128" t="n">
        <v>1.9</v>
      </c>
      <c r="L8" s="128" t="n">
        <v>1.8</v>
      </c>
      <c r="M8" s="128" t="n">
        <v>1.2</v>
      </c>
      <c r="N8" s="128" t="n">
        <v>2</v>
      </c>
      <c r="O8" s="128" t="n">
        <v>1.6</v>
      </c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Security Operations</t>
        </is>
      </c>
      <c r="B9" s="128" t="n">
        <v>1.8</v>
      </c>
      <c r="C9" s="128" t="n">
        <v>1.6</v>
      </c>
      <c r="D9" s="128" t="n">
        <v>1.4</v>
      </c>
      <c r="E9" s="128" t="n">
        <v>1.9</v>
      </c>
      <c r="F9" s="128" t="n">
        <v>1.3</v>
      </c>
      <c r="G9" s="128" t="n">
        <v>1.2</v>
      </c>
      <c r="H9" s="128" t="n">
        <v>1</v>
      </c>
      <c r="I9" s="128" t="n">
        <v>1.8</v>
      </c>
      <c r="J9" s="128" t="n">
        <v>1.6</v>
      </c>
      <c r="K9" s="128" t="n">
        <v>2</v>
      </c>
      <c r="L9" s="128" t="n">
        <v>1.8</v>
      </c>
      <c r="M9" s="128" t="n">
        <v>1.1</v>
      </c>
      <c r="N9" s="128" t="n">
        <v>2</v>
      </c>
      <c r="O9" s="128" t="n">
        <v>1.7</v>
      </c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Customer Service</t>
        </is>
      </c>
      <c r="B10" s="128" t="n">
        <v>1.3</v>
      </c>
      <c r="C10" s="128" t="n">
        <v>1.5</v>
      </c>
      <c r="D10" s="128" t="n">
        <v>1.8</v>
      </c>
      <c r="E10" s="128" t="n">
        <v>1.7</v>
      </c>
      <c r="F10" s="128" t="n">
        <v>1.2</v>
      </c>
      <c r="G10" s="128" t="n">
        <v>1.1</v>
      </c>
      <c r="H10" s="128" t="n">
        <v>1.6</v>
      </c>
      <c r="I10" s="128" t="n">
        <v>1.2</v>
      </c>
      <c r="J10" s="128" t="n">
        <v>1.8</v>
      </c>
      <c r="K10" s="128" t="n">
        <v>1.4</v>
      </c>
      <c r="L10" s="128" t="n">
        <v>1.9</v>
      </c>
      <c r="M10" s="128" t="n">
        <v>1.2</v>
      </c>
      <c r="N10" s="128" t="n">
        <v>1.2</v>
      </c>
      <c r="O10" s="128" t="n">
        <v>1.8</v>
      </c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Financial Operations</t>
        </is>
      </c>
      <c r="B11" s="128" t="n">
        <v>1.8</v>
      </c>
      <c r="C11" s="128" t="n">
        <v>1.2</v>
      </c>
      <c r="D11" s="128" t="n">
        <v>1.7</v>
      </c>
      <c r="E11" s="128" t="n">
        <v>2</v>
      </c>
      <c r="F11" s="128" t="n">
        <v>1.2</v>
      </c>
      <c r="G11" s="128" t="n">
        <v>1</v>
      </c>
      <c r="H11" s="128" t="n">
        <v>1.3</v>
      </c>
      <c r="I11" s="128" t="n">
        <v>1.5</v>
      </c>
      <c r="J11" s="128" t="n">
        <v>2</v>
      </c>
      <c r="K11" s="128" t="n">
        <v>1.6</v>
      </c>
      <c r="L11" s="128" t="n">
        <v>1.5</v>
      </c>
      <c r="M11" s="128" t="n">
        <v>1.8</v>
      </c>
      <c r="N11" s="128" t="n">
        <v>1.4</v>
      </c>
      <c r="O11" s="128" t="n">
        <v>2</v>
      </c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Regulated Data</t>
        </is>
      </c>
      <c r="B12" s="128" t="n">
        <v>1.4</v>
      </c>
      <c r="C12" s="128" t="n">
        <v>1.1</v>
      </c>
      <c r="D12" s="128" t="n">
        <v>1.7</v>
      </c>
      <c r="E12" s="128" t="n">
        <v>2</v>
      </c>
      <c r="F12" s="128" t="n">
        <v>1.2</v>
      </c>
      <c r="G12" s="128" t="n">
        <v>1</v>
      </c>
      <c r="H12" s="128" t="n">
        <v>1.6</v>
      </c>
      <c r="I12" s="128" t="n">
        <v>1.4</v>
      </c>
      <c r="J12" s="128" t="n">
        <v>2</v>
      </c>
      <c r="K12" s="128" t="n">
        <v>1.7</v>
      </c>
      <c r="L12" s="128" t="n">
        <v>1.9</v>
      </c>
      <c r="M12" s="128" t="n">
        <v>1.7</v>
      </c>
      <c r="N12" s="128" t="n">
        <v>1.3</v>
      </c>
      <c r="O12" s="128" t="n">
        <v>2</v>
      </c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Multi-Agent SDLC</t>
        </is>
      </c>
      <c r="B13" s="128" t="n">
        <v>1.6</v>
      </c>
      <c r="C13" s="128" t="n">
        <v>1.3</v>
      </c>
      <c r="D13" s="128" t="n">
        <v>1.7</v>
      </c>
      <c r="E13" s="128" t="n">
        <v>1.8</v>
      </c>
      <c r="F13" s="128" t="n">
        <v>1.7</v>
      </c>
      <c r="G13" s="128" t="n">
        <v>2</v>
      </c>
      <c r="H13" s="128" t="n">
        <v>1.3</v>
      </c>
      <c r="I13" s="128" t="n">
        <v>1.4</v>
      </c>
      <c r="J13" s="128" t="n">
        <v>1.5</v>
      </c>
      <c r="K13" s="128" t="n">
        <v>1.8</v>
      </c>
      <c r="L13" s="128" t="n">
        <v>2</v>
      </c>
      <c r="M13" s="128" t="n">
        <v>1.9</v>
      </c>
      <c r="N13" s="128" t="n">
        <v>1.6</v>
      </c>
      <c r="O13" s="128" t="n">
        <v>1.8</v>
      </c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24" customWidth="1" style="99" min="2" max="2"/>
    <col width="24" customWidth="1" style="99" min="3" max="3"/>
    <col width="26" customWidth="1" style="99" min="4" max="4"/>
    <col width="26" customWidth="1" style="99" min="5" max="5"/>
    <col width="28" customWidth="1" style="99" min="6" max="6"/>
    <col width="34" customWidth="1" style="99" min="7" max="7"/>
  </cols>
  <sheetData>
    <row r="1" ht="38.40000152587891" customHeight="1" s="99">
      <c r="A1" s="56" t="inlineStr">
        <is>
          <t>Agentic Force Index (AFI) Rubric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15" customHeight="1" s="99">
      <c r="A2" s="58" t="inlineStr">
        <is>
          <t>Score each dimension from 0 to 5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Dimension</t>
        </is>
      </c>
      <c r="B4" s="127" t="inlineStr">
        <is>
          <t>0</t>
        </is>
      </c>
      <c r="C4" s="127" t="inlineStr">
        <is>
          <t>1</t>
        </is>
      </c>
      <c r="D4" s="127" t="inlineStr">
        <is>
          <t>2</t>
        </is>
      </c>
      <c r="E4" s="127" t="inlineStr">
        <is>
          <t>3</t>
        </is>
      </c>
      <c r="F4" s="127" t="inlineStr">
        <is>
          <t>4</t>
        </is>
      </c>
      <c r="G4" s="127" t="inlineStr">
        <is>
          <t>5</t>
        </is>
      </c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26.39999961853027" customHeight="1" s="99">
      <c r="A5" s="125" t="inlineStr">
        <is>
          <t>Decision Autonomy</t>
        </is>
      </c>
      <c r="B5" s="125" t="inlineStr">
        <is>
          <t>No decision capability</t>
        </is>
      </c>
      <c r="C5" s="125" t="inlineStr">
        <is>
          <t>Suggests actions only</t>
        </is>
      </c>
      <c r="D5" s="125" t="inlineStr">
        <is>
          <t>Recommends for approval</t>
        </is>
      </c>
      <c r="E5" s="125" t="inlineStr">
        <is>
          <t>Executes after human approval</t>
        </is>
      </c>
      <c r="F5" s="125" t="inlineStr">
        <is>
          <t>Executes under policy approval</t>
        </is>
      </c>
      <c r="G5" s="125" t="inlineStr">
        <is>
          <t>Executes independently within delegated authority</t>
        </is>
      </c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Decision Velocity</t>
        </is>
      </c>
      <c r="B6" s="125" t="inlineStr">
        <is>
          <t>No decisions</t>
        </is>
      </c>
      <c r="C6" s="125" t="inlineStr">
        <is>
          <t>Occasional/manual</t>
        </is>
      </c>
      <c r="D6" s="125" t="inlineStr">
        <is>
          <t>Daily/batch</t>
        </is>
      </c>
      <c r="E6" s="125" t="inlineStr">
        <is>
          <t>Hourly/event-driven</t>
        </is>
      </c>
      <c r="F6" s="125" t="inlineStr">
        <is>
          <t>Near-real-time</t>
        </is>
      </c>
      <c r="G6" s="125" t="inlineStr">
        <is>
          <t>Continuous autonomous loop</t>
        </is>
      </c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Operational Reach</t>
        </is>
      </c>
      <c r="B7" s="125" t="inlineStr">
        <is>
          <t>No system access</t>
        </is>
      </c>
      <c r="C7" s="125" t="inlineStr">
        <is>
          <t>Single user workspace</t>
        </is>
      </c>
      <c r="D7" s="125" t="inlineStr">
        <is>
          <t>Single app/repository</t>
        </is>
      </c>
      <c r="E7" s="125" t="inlineStr">
        <is>
          <t>Multiple apps in one domain</t>
        </is>
      </c>
      <c r="F7" s="125" t="inlineStr">
        <is>
          <t>Multiple domains/business units</t>
        </is>
      </c>
      <c r="G7" s="125" t="inlineStr">
        <is>
          <t>Enterprise-wide or external ecosystem</t>
        </is>
      </c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26.39999961853027" customHeight="1" s="99">
      <c r="A8" s="125" t="inlineStr">
        <is>
          <t>Operational Criticality</t>
        </is>
      </c>
      <c r="B8" s="125" t="inlineStr">
        <is>
          <t>No impact</t>
        </is>
      </c>
      <c r="C8" s="125" t="inlineStr">
        <is>
          <t>Low/cosmetic</t>
        </is>
      </c>
      <c r="D8" s="125" t="inlineStr">
        <is>
          <t>Team productivity</t>
        </is>
      </c>
      <c r="E8" s="125" t="inlineStr">
        <is>
          <t>Application/workflow</t>
        </is>
      </c>
      <c r="F8" s="125" t="inlineStr">
        <is>
          <t>Production/customer/security</t>
        </is>
      </c>
      <c r="G8" s="125" t="inlineStr">
        <is>
          <t>Financial/regulatory/safety/enterprise-critical</t>
        </is>
      </c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Adaptability</t>
        </is>
      </c>
      <c r="B9" s="125" t="inlineStr">
        <is>
          <t>No adaptation</t>
        </is>
      </c>
      <c r="C9" s="125" t="inlineStr">
        <is>
          <t>Static prompt/fixed workflow</t>
        </is>
      </c>
      <c r="D9" s="125" t="inlineStr">
        <is>
          <t>Chooses predefined paths</t>
        </is>
      </c>
      <c r="E9" s="125" t="inlineStr">
        <is>
          <t>Generates dynamic plans</t>
        </is>
      </c>
      <c r="F9" s="125" t="inlineStr">
        <is>
          <t>Learns from feedback/memory</t>
        </is>
      </c>
      <c r="G9" s="125" t="inlineStr">
        <is>
          <t>Discovers tools/self-optimizes</t>
        </is>
      </c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Collaboration Complexity</t>
        </is>
      </c>
      <c r="B10" s="125" t="inlineStr">
        <is>
          <t>No collaboration</t>
        </is>
      </c>
      <c r="C10" s="125" t="inlineStr">
        <is>
          <t>Single-agent</t>
        </is>
      </c>
      <c r="D10" s="125" t="inlineStr">
        <is>
          <t>Human-agent</t>
        </is>
      </c>
      <c r="E10" s="125" t="inlineStr">
        <is>
          <t>Multi-agent fixed roles</t>
        </is>
      </c>
      <c r="F10" s="125" t="inlineStr">
        <is>
          <t>Dynamic handoffs</t>
        </is>
      </c>
      <c r="G10" s="125" t="inlineStr">
        <is>
          <t>Swarm-like/emergent</t>
        </is>
      </c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Persistence and Memory</t>
        </is>
      </c>
      <c r="B11" s="125" t="inlineStr">
        <is>
          <t>No persistence</t>
        </is>
      </c>
      <c r="C11" s="125" t="inlineStr">
        <is>
          <t>Single-session</t>
        </is>
      </c>
      <c r="D11" s="125" t="inlineStr">
        <is>
          <t>Short-term task memory</t>
        </is>
      </c>
      <c r="E11" s="125" t="inlineStr">
        <is>
          <t>Long-lived scoped memory</t>
        </is>
      </c>
      <c r="F11" s="125" t="inlineStr">
        <is>
          <t>Cross-session memory</t>
        </is>
      </c>
      <c r="G11" s="125" t="inlineStr">
        <is>
          <t>Enterprise/self-maintained memory</t>
        </is>
      </c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24" customWidth="1" style="99" min="2" max="2"/>
    <col width="24" customWidth="1" style="99" min="3" max="3"/>
    <col width="26" customWidth="1" style="99" min="4" max="4"/>
    <col width="28" customWidth="1" style="99" min="5" max="5"/>
    <col width="32" customWidth="1" style="99" min="6" max="6"/>
    <col width="38" customWidth="1" style="99" min="7" max="7"/>
  </cols>
  <sheetData>
    <row r="1" ht="38.40000152587891" customHeight="1" s="99">
      <c r="A1" s="56" t="inlineStr">
        <is>
          <t>Enterprise Gravity Index (EGI) Rubric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Score only controls that are present, well-designed, and evidenced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Dimension</t>
        </is>
      </c>
      <c r="B4" s="127" t="inlineStr">
        <is>
          <t>0</t>
        </is>
      </c>
      <c r="C4" s="127" t="inlineStr">
        <is>
          <t>1</t>
        </is>
      </c>
      <c r="D4" s="127" t="inlineStr">
        <is>
          <t>2</t>
        </is>
      </c>
      <c r="E4" s="127" t="inlineStr">
        <is>
          <t>3</t>
        </is>
      </c>
      <c r="F4" s="127" t="inlineStr">
        <is>
          <t>4</t>
        </is>
      </c>
      <c r="G4" s="127" t="inlineStr">
        <is>
          <t>5</t>
        </is>
      </c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Identity</t>
        </is>
      </c>
      <c r="B5" s="125" t="inlineStr">
        <is>
          <t>No distinct identity</t>
        </is>
      </c>
      <c r="C5" s="125" t="inlineStr">
        <is>
          <t>Shared user/service account</t>
        </is>
      </c>
      <c r="D5" s="125" t="inlineStr">
        <is>
          <t>Dedicated service identity</t>
        </is>
      </c>
      <c r="E5" s="125" t="inlineStr">
        <is>
          <t>Workload identity with ownership</t>
        </is>
      </c>
      <c r="F5" s="125" t="inlineStr">
        <is>
          <t>Short-lived credentials + strong auth</t>
        </is>
      </c>
      <c r="G5" s="125" t="inlineStr">
        <is>
          <t>Cryptographic identity + continuous verification</t>
        </is>
      </c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Authorization</t>
        </is>
      </c>
      <c r="B6" s="125" t="inlineStr">
        <is>
          <t>No boundary</t>
        </is>
      </c>
      <c r="C6" s="125" t="inlineStr">
        <is>
          <t>Broad static access</t>
        </is>
      </c>
      <c r="D6" s="125" t="inlineStr">
        <is>
          <t>Role-based access</t>
        </is>
      </c>
      <c r="E6" s="125" t="inlineStr">
        <is>
          <t>Least privilege by tool/workflow</t>
        </is>
      </c>
      <c r="F6" s="125" t="inlineStr">
        <is>
          <t>Context-aware authorization</t>
        </is>
      </c>
      <c r="G6" s="125" t="inlineStr">
        <is>
          <t>Dynamic policy-driven JIT access</t>
        </is>
      </c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Policy Enforcement</t>
        </is>
      </c>
      <c r="B7" s="125" t="inlineStr">
        <is>
          <t>None</t>
        </is>
      </c>
      <c r="C7" s="125" t="inlineStr">
        <is>
          <t>Human guidelines only</t>
        </is>
      </c>
      <c r="D7" s="125" t="inlineStr">
        <is>
          <t>Static config checks</t>
        </is>
      </c>
      <c r="E7" s="125" t="inlineStr">
        <is>
          <t>CI/CD or pre-execution checks</t>
        </is>
      </c>
      <c r="F7" s="125" t="inlineStr">
        <is>
          <t>Runtime policy enforcement</t>
        </is>
      </c>
      <c r="G7" s="125" t="inlineStr">
        <is>
          <t>Adaptive risk-based policy</t>
        </is>
      </c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Observability</t>
        </is>
      </c>
      <c r="B8" s="125" t="inlineStr">
        <is>
          <t>No logs</t>
        </is>
      </c>
      <c r="C8" s="125" t="inlineStr">
        <is>
          <t>Basic application logs</t>
        </is>
      </c>
      <c r="D8" s="125" t="inlineStr">
        <is>
          <t>Tool-call logs</t>
        </is>
      </c>
      <c r="E8" s="125" t="inlineStr">
        <is>
          <t>Prompt/plan/action traces</t>
        </is>
      </c>
      <c r="F8" s="125" t="inlineStr">
        <is>
          <t>End-to-end traceability</t>
        </is>
      </c>
      <c r="G8" s="125" t="inlineStr">
        <is>
          <t>Audit-grade decision provenance</t>
        </is>
      </c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26.39999961853027" customHeight="1" s="99">
      <c r="A9" s="125" t="inlineStr">
        <is>
          <t>Governance and Lifecycle</t>
        </is>
      </c>
      <c r="B9" s="125" t="inlineStr">
        <is>
          <t>No inventory</t>
        </is>
      </c>
      <c r="C9" s="125" t="inlineStr">
        <is>
          <t>Informal ownership</t>
        </is>
      </c>
      <c r="D9" s="125" t="inlineStr">
        <is>
          <t>Agent catalog/registry</t>
        </is>
      </c>
      <c r="E9" s="125" t="inlineStr">
        <is>
          <t>Lifecycle approval workflow</t>
        </is>
      </c>
      <c r="F9" s="125" t="inlineStr">
        <is>
          <t>Version/certification/deprecation</t>
        </is>
      </c>
      <c r="G9" s="125" t="inlineStr">
        <is>
          <t>Control plane for agents/tools/models/memory/policies</t>
        </is>
      </c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Recovery and Resilience</t>
        </is>
      </c>
      <c r="B10" s="125" t="inlineStr">
        <is>
          <t>No recovery</t>
        </is>
      </c>
      <c r="C10" s="125" t="inlineStr">
        <is>
          <t>Manual intervention</t>
        </is>
      </c>
      <c r="D10" s="125" t="inlineStr">
        <is>
          <t>Basic rollback</t>
        </is>
      </c>
      <c r="E10" s="125" t="inlineStr">
        <is>
          <t>Kill switch/circuit breaker</t>
        </is>
      </c>
      <c r="F10" s="125" t="inlineStr">
        <is>
          <t>Automated rollback + human takeover</t>
        </is>
      </c>
      <c r="G10" s="125" t="inlineStr">
        <is>
          <t>Blast-radius isolation + recovery drills</t>
        </is>
      </c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26.39999961853027" customHeight="1" s="99">
      <c r="A11" s="125" t="inlineStr">
        <is>
          <t>Assurance and Evaluation</t>
        </is>
      </c>
      <c r="B11" s="125" t="inlineStr">
        <is>
          <t>No evaluation</t>
        </is>
      </c>
      <c r="C11" s="125" t="inlineStr">
        <is>
          <t>Manual pre-release testing</t>
        </is>
      </c>
      <c r="D11" s="125" t="inlineStr">
        <is>
          <t>Basic prompt/output eval</t>
        </is>
      </c>
      <c r="E11" s="125" t="inlineStr">
        <is>
          <t>Scenario eval + red team</t>
        </is>
      </c>
      <c r="F11" s="125" t="inlineStr">
        <is>
          <t>Runtime eval + drift detection</t>
        </is>
      </c>
      <c r="G11" s="125" t="inlineStr">
        <is>
          <t>Continuous assurance across policy/behavior/security/outcomes</t>
        </is>
      </c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8" customWidth="1" style="99" min="1" max="1"/>
    <col width="18" customWidth="1" style="99" min="2" max="2"/>
    <col width="30" customWidth="1" style="99" min="3" max="3"/>
    <col width="50" customWidth="1" style="99" min="4" max="4"/>
  </cols>
  <sheetData>
    <row r="1" ht="57.59999847412109" customHeight="1" s="99">
      <c r="A1" s="56" t="inlineStr">
        <is>
          <t>Evidence Tiers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60" customHeight="1" s="99">
      <c r="A2" s="58" t="inlineStr">
        <is>
          <t>EGI scores above 3 require Tier 3+ evidence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Tier</t>
        </is>
      </c>
      <c r="B4" s="127" t="inlineStr">
        <is>
          <t>Name</t>
        </is>
      </c>
      <c r="C4" s="127" t="inlineStr">
        <is>
          <t>Meaning</t>
        </is>
      </c>
      <c r="D4" s="127" t="inlineStr">
        <is>
          <t>Examples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n">
        <v>0</v>
      </c>
      <c r="B5" s="125" t="inlineStr">
        <is>
          <t>Claimed</t>
        </is>
      </c>
      <c r="C5" s="125" t="inlineStr">
        <is>
          <t>Claimed, no evidence</t>
        </is>
      </c>
      <c r="D5" s="125" t="inlineStr">
        <is>
          <t>Verbal statement, slide, unvalidated design claim</t>
        </is>
      </c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n">
        <v>1</v>
      </c>
      <c r="B6" s="125" t="inlineStr">
        <is>
          <t>Documented</t>
        </is>
      </c>
      <c r="C6" s="125" t="inlineStr">
        <is>
          <t>Documented design</t>
        </is>
      </c>
      <c r="D6" s="125" t="inlineStr">
        <is>
          <t>Architecture doc, policy draft, decision record</t>
        </is>
      </c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n">
        <v>2</v>
      </c>
      <c r="B7" s="125" t="inlineStr">
        <is>
          <t>Implemented</t>
        </is>
      </c>
      <c r="C7" s="125" t="inlineStr">
        <is>
          <t>Implemented control</t>
        </is>
      </c>
      <c r="D7" s="125" t="inlineStr">
        <is>
          <t>Configured identity, gateway, policy, logging, workflow</t>
        </is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n">
        <v>3</v>
      </c>
      <c r="B8" s="125" t="inlineStr">
        <is>
          <t>Tested</t>
        </is>
      </c>
      <c r="C8" s="125" t="inlineStr">
        <is>
          <t>Tested control</t>
        </is>
      </c>
      <c r="D8" s="125" t="inlineStr">
        <is>
          <t>Validation result, policy test, rollback test, drill</t>
        </is>
      </c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n">
        <v>4</v>
      </c>
      <c r="B9" s="125" t="inlineStr">
        <is>
          <t>Runtime Verified</t>
        </is>
      </c>
      <c r="C9" s="125" t="inlineStr">
        <is>
          <t>Runtime-verified control</t>
        </is>
      </c>
      <c r="D9" s="125" t="inlineStr">
        <is>
          <t>Production trace, policy decision log, audit event</t>
        </is>
      </c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n">
        <v>5</v>
      </c>
      <c r="B10" s="125" t="inlineStr">
        <is>
          <t>Continuous Audit</t>
        </is>
      </c>
      <c r="C10" s="125" t="inlineStr">
        <is>
          <t>Continuously monitored and audited</t>
        </is>
      </c>
      <c r="D10" s="125" t="inlineStr">
        <is>
          <t>Dashboards, recurring evidence, automated checks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n"/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7" t="inlineStr">
        <is>
          <t>Rule</t>
        </is>
      </c>
      <c r="B12" s="127" t="inlineStr">
        <is>
          <t>Applies To</t>
        </is>
      </c>
      <c r="C12" s="127" t="inlineStr">
        <is>
          <t>Requirement</t>
        </is>
      </c>
      <c r="D12" s="127" t="inlineStr">
        <is>
          <t>Notes</t>
        </is>
      </c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EGI &gt; 3</t>
        </is>
      </c>
      <c r="B13" s="125" t="inlineStr">
        <is>
          <t>Any EGI dimension</t>
        </is>
      </c>
      <c r="C13" s="125" t="inlineStr">
        <is>
          <t>Tier 3+ evidence required</t>
        </is>
      </c>
      <c r="D13" s="125" t="inlineStr">
        <is>
          <t>Design intent is not enough</t>
        </is>
      </c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39.59999847412109" customHeight="1" s="99">
      <c r="A14" s="125" t="inlineStr">
        <is>
          <t>Production-impacting agent</t>
        </is>
      </c>
      <c r="B14" s="125" t="inlineStr">
        <is>
          <t>Policy, Observability, Recovery, Assurance</t>
        </is>
      </c>
      <c r="C14" s="125" t="inlineStr">
        <is>
          <t>Tier 4+ evidence required to move beyond Edge Orbit</t>
        </is>
      </c>
      <c r="D14" s="125" t="inlineStr">
        <is>
          <t>Runtime proof expected</t>
        </is>
      </c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34" customWidth="1" style="99" min="1" max="1"/>
    <col width="60" customWidth="1" style="99" min="2" max="2"/>
    <col width="18" customWidth="1" style="99" min="3" max="3"/>
    <col width="18" customWidth="1" style="99" min="4" max="4"/>
    <col width="18" customWidth="1" style="99" min="5" max="5"/>
  </cols>
  <sheetData>
    <row r="1" ht="24" customHeight="1" s="99">
      <c r="A1" s="174" t="inlineStr">
        <is>
          <t>ABOM - System Boundary</t>
        </is>
      </c>
      <c r="B1" s="167" t="str"/>
      <c r="C1" s="167" t="str"/>
      <c r="D1" s="167" t="str"/>
      <c r="E1" s="167" t="str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28" customHeight="1" s="99">
      <c r="A2" s="175" t="inlineStr">
        <is>
          <t>Defines model, runtime, memory, tools/MCP, identity, permissions, policies, approvals, and operating context.</t>
        </is>
      </c>
      <c r="B2" s="170" t="str"/>
      <c r="C2" s="170" t="str"/>
      <c r="D2" s="170" t="str"/>
      <c r="E2" s="170" t="str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0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65" t="inlineStr">
        <is>
          <t>Category</t>
        </is>
      </c>
      <c r="B4" s="165" t="inlineStr">
        <is>
          <t>Required Information</t>
        </is>
      </c>
      <c r="C4" s="165" t="inlineStr">
        <is>
          <t>Owner</t>
        </is>
      </c>
      <c r="D4" s="165" t="inlineStr">
        <is>
          <t>Evidence Link / Location</t>
        </is>
      </c>
      <c r="E4" s="165" t="inlineStr">
        <is>
          <t>Status</t>
        </is>
      </c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28" customHeight="1" s="99">
      <c r="A5" s="125" t="inlineStr">
        <is>
          <t>Agentic System Instance</t>
        </is>
      </c>
      <c r="B5" s="125" t="inlineStr">
        <is>
          <t>Name, version, owner, purpose, business domain, assessed context</t>
        </is>
      </c>
      <c r="C5" s="125" t="str"/>
      <c r="D5" s="125" t="str"/>
      <c r="E5" s="125" t="str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28" customHeight="1" s="99">
      <c r="A6" s="125" t="inlineStr">
        <is>
          <t>Model</t>
        </is>
      </c>
      <c r="B6" s="125" t="inlineStr">
        <is>
          <t>Provider, model, deployment mode, approval status</t>
        </is>
      </c>
      <c r="C6" s="125" t="str"/>
      <c r="D6" s="125" t="str"/>
      <c r="E6" s="125" t="str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28" customHeight="1" s="99">
      <c r="A7" s="125" t="inlineStr">
        <is>
          <t>Runtime</t>
        </is>
      </c>
      <c r="B7" s="125" t="inlineStr">
        <is>
          <t>Agent framework, orchestrator, hosting environment</t>
        </is>
      </c>
      <c r="C7" s="125" t="str"/>
      <c r="D7" s="125" t="str"/>
      <c r="E7" s="125" t="str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28" customHeight="1" s="99">
      <c r="A8" s="125" t="inlineStr">
        <is>
          <t>Prompts</t>
        </is>
      </c>
      <c r="B8" s="125" t="inlineStr">
        <is>
          <t>System prompts, task prompts, prompt versioning</t>
        </is>
      </c>
      <c r="C8" s="125" t="str"/>
      <c r="D8" s="125" t="str"/>
      <c r="E8" s="125" t="str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28" customHeight="1" s="99">
      <c r="A9" s="125" t="inlineStr">
        <is>
          <t>Tools / MCP Servers</t>
        </is>
      </c>
      <c r="B9" s="125" t="inlineStr">
        <is>
          <t>APIs, MCP servers, plugins, scripts, functions, workflows; read/write capability, tool risk level, reversibility</t>
        </is>
      </c>
      <c r="C9" s="125" t="str"/>
      <c r="D9" s="125" t="str"/>
      <c r="E9" s="125" t="str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28" customHeight="1" s="99">
      <c r="A10" s="125" t="inlineStr">
        <is>
          <t>Data Sources</t>
        </is>
      </c>
      <c r="B10" s="125" t="inlineStr">
        <is>
          <t>KBs, vector stores, databases, files, SaaS systems</t>
        </is>
      </c>
      <c r="C10" s="125" t="str"/>
      <c r="D10" s="125" t="str"/>
      <c r="E10" s="125" t="str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28" customHeight="1" s="99">
      <c r="A11" s="125" t="inlineStr">
        <is>
          <t>Memory</t>
        </is>
      </c>
      <c r="B11" s="125" t="inlineStr">
        <is>
          <t>Session, short-term, long-term, enterprise memory</t>
        </is>
      </c>
      <c r="C11" s="125" t="str"/>
      <c r="D11" s="125" t="str"/>
      <c r="E11" s="125" t="str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28" customHeight="1" s="99">
      <c r="A12" s="125" t="inlineStr">
        <is>
          <t>Identity</t>
        </is>
      </c>
      <c r="B12" s="125" t="inlineStr">
        <is>
          <t>Agent identity, user delegation, service identity, on-behalf-of authority</t>
        </is>
      </c>
      <c r="C12" s="125" t="str"/>
      <c r="D12" s="125" t="str"/>
      <c r="E12" s="125" t="str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28" customHeight="1" s="99">
      <c r="A13" s="125" t="inlineStr">
        <is>
          <t>Authorization</t>
        </is>
      </c>
      <c r="B13" s="125" t="inlineStr">
        <is>
          <t>Permissions, scopes, roles, environments, JIT access, delegated authority model</t>
        </is>
      </c>
      <c r="C13" s="125" t="str"/>
      <c r="D13" s="125" t="str"/>
      <c r="E13" s="125" t="str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28" customHeight="1" s="99">
      <c r="A14" s="125" t="inlineStr">
        <is>
          <t>Policies</t>
        </is>
      </c>
      <c r="B14" s="125" t="inlineStr">
        <is>
          <t>Policy rules, enforcement points, exceptions, tool/action policies</t>
        </is>
      </c>
      <c r="C14" s="125" t="str"/>
      <c r="D14" s="125" t="str"/>
      <c r="E14" s="125" t="str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28" customHeight="1" s="99">
      <c r="A15" s="125" t="inlineStr">
        <is>
          <t>Observability</t>
        </is>
      </c>
      <c r="B15" s="125" t="inlineStr">
        <is>
          <t>Logs, traces, audit store, dashboards, prompt-plan-tool-action traces</t>
        </is>
      </c>
      <c r="C15" s="125" t="str"/>
      <c r="D15" s="125" t="str"/>
      <c r="E15" s="125" t="str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28" customHeight="1" s="99">
      <c r="A16" s="125" t="inlineStr">
        <is>
          <t>Recovery</t>
        </is>
      </c>
      <c r="B16" s="125" t="inlineStr">
        <is>
          <t>Rollback, kill switch, circuit breakers, compensating actions, reversibility limits</t>
        </is>
      </c>
      <c r="C16" s="125" t="str"/>
      <c r="D16" s="125" t="str"/>
      <c r="E16" s="125" t="str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28" customHeight="1" s="99">
      <c r="A17" s="125" t="inlineStr">
        <is>
          <t>Assurance</t>
        </is>
      </c>
      <c r="B17" s="125" t="inlineStr">
        <is>
          <t>Evaluations, red-team tests, runtime monitors</t>
        </is>
      </c>
      <c r="C17" s="125" t="str"/>
      <c r="D17" s="125" t="str"/>
      <c r="E17" s="125" t="str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28" customHeight="1" s="99">
      <c r="A18" s="125" t="inlineStr">
        <is>
          <t>Dependencies</t>
        </is>
      </c>
      <c r="B18" s="125" t="inlineStr">
        <is>
          <t>External services, gateways, brokers, registries, MCP servers, connector dependencies</t>
        </is>
      </c>
      <c r="C18" s="125" t="str"/>
      <c r="D18" s="125" t="str"/>
      <c r="E18" s="125" t="str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28" customHeight="1" s="99">
      <c r="A19" s="125" t="inlineStr">
        <is>
          <t>Review</t>
        </is>
      </c>
      <c r="B19" s="125" t="inlineStr">
        <is>
          <t>Last review, next review, approver</t>
        </is>
      </c>
      <c r="C19" s="125" t="str"/>
      <c r="D19" s="125" t="str"/>
      <c r="E19" s="125" t="str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28" customHeight="1" s="99">
      <c r="A20" s="156" t="inlineStr">
        <is>
          <t>System Boundary</t>
        </is>
      </c>
      <c r="B20" s="125" t="inlineStr">
        <is>
          <t>Scope of the assessed agentic system instance: runtime, tools, memory, identity, deployment context</t>
        </is>
      </c>
      <c r="C20" s="125" t="str"/>
      <c r="D20" s="125" t="str"/>
      <c r="E20" s="125" t="str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28" customHeight="1" s="99">
      <c r="A21" s="156" t="inlineStr">
        <is>
          <t>Tool / MCP Classification</t>
        </is>
      </c>
      <c r="B21" s="125" t="inlineStr">
        <is>
          <t>For each tool/MCP: data sensitivity, action impact, reversibility, auth model, auditability, abuse potential</t>
        </is>
      </c>
      <c r="C21" s="125" t="str"/>
      <c r="D21" s="125" t="str"/>
      <c r="E21" s="125" t="str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28" customHeight="1" s="99">
      <c r="A22" s="156" t="inlineStr">
        <is>
          <t>Action Authority</t>
        </is>
      </c>
      <c r="B22" s="125" t="inlineStr">
        <is>
          <t>Read-only, draft-only, human-approved, policy-approved, or independently executed</t>
        </is>
      </c>
      <c r="C22" s="125" t="str"/>
      <c r="D22" s="125" t="str"/>
      <c r="E22" s="125" t="str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28" customHeight="1" s="99">
      <c r="A23" s="156" t="inlineStr">
        <is>
          <t>Operating Context</t>
        </is>
      </c>
      <c r="B23" s="125" t="inlineStr">
        <is>
          <t>Environment, users, approval model, delegated authority, business process, regulatory context</t>
        </is>
      </c>
      <c r="C23" s="125" t="str"/>
      <c r="D23" s="125" t="str"/>
      <c r="E23" s="125" t="str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dataValidations count="1">
    <dataValidation sqref="E5:E19" showDropDown="0" showInputMessage="0" showErrorMessage="0" allowBlank="0" type="list">
      <formula1>"Not Started,In Progress,Complete,N/A"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64" customWidth="1" style="99" min="2" max="2"/>
    <col width="14" customWidth="1" style="99" min="3" max="3"/>
    <col width="14" customWidth="1" style="99" min="4" max="4"/>
    <col width="50" customWidth="1" style="99" min="5" max="5"/>
    <col width="16" customWidth="1" style="99" min="6" max="6"/>
  </cols>
  <sheetData>
    <row r="1" ht="38.40000152587891" customHeight="1" s="99">
      <c r="A1" s="56" t="inlineStr">
        <is>
          <t>ASF Threat Model Gate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48" customHeight="1" s="99">
      <c r="A2" s="58" t="inlineStr">
        <is>
          <t>Required for Edge, Unstable, or Critical Orbit agents, and for any agent with production action authority, sensitive-data access, multi-agent handoffs, long-term memory, or external exposure.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Threat Category</t>
        </is>
      </c>
      <c r="B4" s="127" t="inlineStr">
        <is>
          <t>Scenario / Question</t>
        </is>
      </c>
      <c r="C4" s="127" t="inlineStr">
        <is>
          <t>Likelihood</t>
        </is>
      </c>
      <c r="D4" s="127" t="inlineStr">
        <is>
          <t>Impact</t>
        </is>
      </c>
      <c r="E4" s="127" t="inlineStr">
        <is>
          <t>Mitigation</t>
        </is>
      </c>
      <c r="F4" s="127" t="inlineStr">
        <is>
          <t>Status</t>
        </is>
      </c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Prompt injection</t>
        </is>
      </c>
      <c r="B5" s="125" t="inlineStr">
        <is>
          <t>Can user or retrieved content override agent instructions or policy boundaries?</t>
        </is>
      </c>
      <c r="C5" s="125" t="str"/>
      <c r="D5" s="125" t="str"/>
      <c r="E5" s="125" t="str"/>
      <c r="F5" s="125" t="str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Tool misuse</t>
        </is>
      </c>
      <c r="B6" s="125" t="inlineStr">
        <is>
          <t>Can the agent invoke tools in unintended order, scope, or context?</t>
        </is>
      </c>
      <c r="C6" s="125" t="str"/>
      <c r="D6" s="125" t="str"/>
      <c r="E6" s="125" t="str"/>
      <c r="F6" s="125" t="str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Excessive agency</t>
        </is>
      </c>
      <c r="B7" s="125" t="inlineStr">
        <is>
          <t>Does the agent have broader permissions than its task requires?</t>
        </is>
      </c>
      <c r="C7" s="125" t="str"/>
      <c r="D7" s="125" t="str"/>
      <c r="E7" s="125" t="str"/>
      <c r="F7" s="125" t="str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Identity abuse</t>
        </is>
      </c>
      <c r="B8" s="125" t="inlineStr">
        <is>
          <t>Can agent identity or delegated user authority be misused?</t>
        </is>
      </c>
      <c r="C8" s="125" t="str"/>
      <c r="D8" s="125" t="str"/>
      <c r="E8" s="125" t="str"/>
      <c r="F8" s="125" t="str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Memory poisoning</t>
        </is>
      </c>
      <c r="B9" s="125" t="inlineStr">
        <is>
          <t>Can malicious content persist and influence future behavior?</t>
        </is>
      </c>
      <c r="C9" s="125" t="str"/>
      <c r="D9" s="125" t="str"/>
      <c r="E9" s="125" t="str"/>
      <c r="F9" s="125" t="str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Context poisoning</t>
        </is>
      </c>
      <c r="B10" s="125" t="inlineStr">
        <is>
          <t>Can retrieved content manipulate plan or tool choice?</t>
        </is>
      </c>
      <c r="C10" s="125" t="str"/>
      <c r="D10" s="125" t="str"/>
      <c r="E10" s="125" t="str"/>
      <c r="F10" s="125" t="str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Data exfiltration</t>
        </is>
      </c>
      <c r="B11" s="125" t="inlineStr">
        <is>
          <t>Can retrieved or generated content leak sensitive data?</t>
        </is>
      </c>
      <c r="C11" s="125" t="str"/>
      <c r="D11" s="125" t="str"/>
      <c r="E11" s="125" t="str"/>
      <c r="F11" s="125" t="str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Inter-agent manipulation</t>
        </is>
      </c>
      <c r="B12" s="125" t="inlineStr">
        <is>
          <t>Can one agent manipulate another through handoff, context, or memory?</t>
        </is>
      </c>
      <c r="C12" s="125" t="str"/>
      <c r="D12" s="125" t="str"/>
      <c r="E12" s="125" t="str"/>
      <c r="F12" s="125" t="str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Policy evasion</t>
        </is>
      </c>
      <c r="B13" s="125" t="inlineStr">
        <is>
          <t>Can the agent bypass gateway, broker, or policy enforcement?</t>
        </is>
      </c>
      <c r="C13" s="125" t="str"/>
      <c r="D13" s="125" t="str"/>
      <c r="E13" s="125" t="str"/>
      <c r="F13" s="125" t="str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inlineStr">
        <is>
          <t>Cascading failure</t>
        </is>
      </c>
      <c r="B14" s="125" t="inlineStr">
        <is>
          <t>Can one action trigger uncontrolled downstream impact?</t>
        </is>
      </c>
      <c r="C14" s="125" t="str"/>
      <c r="D14" s="125" t="str"/>
      <c r="E14" s="125" t="str"/>
      <c r="F14" s="125" t="str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inlineStr">
        <is>
          <t>Recovery failure</t>
        </is>
      </c>
      <c r="B15" s="125" t="inlineStr">
        <is>
          <t>Can the enterprise stop, reverse, or contain action fast enough?</t>
        </is>
      </c>
      <c r="C15" s="125" t="str"/>
      <c r="D15" s="125" t="str"/>
      <c r="E15" s="125" t="str"/>
      <c r="F15" s="125" t="str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dataValidations count="2">
    <dataValidation sqref="C5:D15" showDropDown="0" showInputMessage="0" showErrorMessage="0" allowBlank="0" type="list">
      <formula1>"Low,Medium,High"</formula1>
    </dataValidation>
    <dataValidation sqref="F5:F15" showDropDown="0" showInputMessage="0" showErrorMessage="0" allowBlank="0" type="list">
      <formula1>"Open,Mitigated,Accepted,N/A"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42" customWidth="1" style="99" min="2" max="2"/>
    <col width="34" customWidth="1" style="99" min="3" max="3"/>
    <col width="38" customWidth="1" style="99" min="4" max="4"/>
    <col width="55" customWidth="1" style="99" min="5" max="5"/>
  </cols>
  <sheetData>
    <row r="1" ht="19.20000076293945" customHeight="1" s="99">
      <c r="A1" s="56" t="inlineStr">
        <is>
          <t>Domain Overlays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Adjust scoring emphasis, evidence expectations, threat scenarios, and uplift actions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Overlay</t>
        </is>
      </c>
      <c r="B4" s="127" t="inlineStr">
        <is>
          <t>Use When</t>
        </is>
      </c>
      <c r="C4" s="127" t="inlineStr">
        <is>
          <t>Higher Force Weights</t>
        </is>
      </c>
      <c r="D4" s="127" t="inlineStr">
        <is>
          <t>Higher Gravity Weights</t>
        </is>
      </c>
      <c r="E4" s="127" t="inlineStr">
        <is>
          <t>Required Evidence</t>
        </is>
      </c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Software Delivery</t>
        </is>
      </c>
      <c r="B5" s="125" t="inlineStr">
        <is>
          <t>Reviewing, coding, testing, merging, deploying software</t>
        </is>
      </c>
      <c r="C5" s="125" t="inlineStr">
        <is>
          <t>Autonomy, Criticality, Reach, Collaboration</t>
        </is>
      </c>
      <c r="D5" s="125" t="inlineStr">
        <is>
          <t>Policy, Recovery, Observability, Assurance</t>
        </is>
      </c>
      <c r="E5" s="125" t="inlineStr">
        <is>
          <t>Repo permissions, CI/CD logs, policy-as-code, rollback validation</t>
        </is>
      </c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26.39999961853027" customHeight="1" s="99">
      <c r="A6" s="125" t="inlineStr">
        <is>
          <t>Cloud / Infrastructure</t>
        </is>
      </c>
      <c r="B6" s="125" t="inlineStr">
        <is>
          <t>Provisioning, configuring, remediating cloud/platform systems</t>
        </is>
      </c>
      <c r="C6" s="125" t="inlineStr">
        <is>
          <t>Autonomy, Reach, Criticality, Velocity</t>
        </is>
      </c>
      <c r="D6" s="125" t="inlineStr">
        <is>
          <t>Identity, Authorization, Policy, Recovery</t>
        </is>
      </c>
      <c r="E6" s="125" t="inlineStr">
        <is>
          <t>IaC policy, workload identity, namespace/account scoping, recovery drills</t>
        </is>
      </c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26.39999961853027" customHeight="1" s="99">
      <c r="A7" s="125" t="inlineStr">
        <is>
          <t>Security Operations</t>
        </is>
      </c>
      <c r="B7" s="125" t="inlineStr">
        <is>
          <t>Triaging alerts, changing controls, incident response</t>
        </is>
      </c>
      <c r="C7" s="125" t="inlineStr">
        <is>
          <t>Autonomy, Criticality, Velocity</t>
        </is>
      </c>
      <c r="D7" s="125" t="inlineStr">
        <is>
          <t>Identity, Policy, Recovery, Observability</t>
        </is>
      </c>
      <c r="E7" s="125" t="inlineStr">
        <is>
          <t>SOC playbooks, evidence logs, credential boundaries, containment controls</t>
        </is>
      </c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API Governance</t>
        </is>
      </c>
      <c r="B8" s="125" t="inlineStr">
        <is>
          <t>Reviewing specs, attaching policies, publishing APIs</t>
        </is>
      </c>
      <c r="C8" s="125" t="inlineStr">
        <is>
          <t>Reach, Criticality, Autonomy</t>
        </is>
      </c>
      <c r="D8" s="125" t="inlineStr">
        <is>
          <t>Policy, Observability, Governance, Authorization</t>
        </is>
      </c>
      <c r="E8" s="125" t="inlineStr">
        <is>
          <t>Catalog workflow, Spectral/OPA rules, gateway policy binding records</t>
        </is>
      </c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26.39999961853027" customHeight="1" s="99">
      <c r="A9" s="125" t="inlineStr">
        <is>
          <t>Customer Service</t>
        </is>
      </c>
      <c r="B9" s="125" t="inlineStr">
        <is>
          <t>Using CRM, case data, external customer communications</t>
        </is>
      </c>
      <c r="C9" s="125" t="inlineStr">
        <is>
          <t>Reach, Criticality, Memory</t>
        </is>
      </c>
      <c r="D9" s="125" t="inlineStr">
        <is>
          <t>Authorization, Assurance, Observability</t>
        </is>
      </c>
      <c r="E9" s="125" t="inlineStr">
        <is>
          <t>PII controls, response review, escalation logs</t>
        </is>
      </c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Financial Operations</t>
        </is>
      </c>
      <c r="B10" s="125" t="inlineStr">
        <is>
          <t>Payments, invoices, reconciliation, approvals</t>
        </is>
      </c>
      <c r="C10" s="125" t="inlineStr">
        <is>
          <t>Criticality, Autonomy, Reach</t>
        </is>
      </c>
      <c r="D10" s="125" t="inlineStr">
        <is>
          <t>Authorization, Assurance, Governance</t>
        </is>
      </c>
      <c r="E10" s="125" t="inlineStr">
        <is>
          <t>Segregation of duties, approval records, fraud controls</t>
        </is>
      </c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Regulated Data</t>
        </is>
      </c>
      <c r="B11" s="125" t="inlineStr">
        <is>
          <t>Health, financial, legal, regulated data</t>
        </is>
      </c>
      <c r="C11" s="125" t="inlineStr">
        <is>
          <t>Criticality, Reach, Memory</t>
        </is>
      </c>
      <c r="D11" s="125" t="inlineStr">
        <is>
          <t>Authorization, Observability, Assurance</t>
        </is>
      </c>
      <c r="E11" s="125" t="inlineStr">
        <is>
          <t>Data classification, audit-grade logs, regulatory review</t>
        </is>
      </c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Multi-Agent SDLC</t>
        </is>
      </c>
      <c r="B12" s="125" t="inlineStr">
        <is>
          <t>Planner, coder, tester, reviewer, release handoffs</t>
        </is>
      </c>
      <c r="C12" s="125" t="inlineStr">
        <is>
          <t>Collaboration, Adaptability, Reach</t>
        </is>
      </c>
      <c r="D12" s="125" t="inlineStr">
        <is>
          <t>Observability, Policy, Governance</t>
        </is>
      </c>
      <c r="E12" s="125" t="inlineStr">
        <is>
          <t>Handoff traces, shared memory controls, conflict resolution</t>
        </is>
      </c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Knowledge / Documentation</t>
        </is>
      </c>
      <c r="B13" s="125" t="inlineStr">
        <is>
          <t>Read-only enterprise knowledge assistants</t>
        </is>
      </c>
      <c r="C13" s="125" t="inlineStr">
        <is>
          <t>Reach, Memory</t>
        </is>
      </c>
      <c r="D13" s="125" t="inlineStr">
        <is>
          <t>Identity, Authorization, Observability</t>
        </is>
      </c>
      <c r="E13" s="125" t="inlineStr">
        <is>
          <t>Approved sources, access logs, output disclaimers where needed</t>
        </is>
      </c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42" customWidth="1" style="99" min="2" max="2"/>
    <col width="28" customWidth="1" style="99" min="3" max="3"/>
    <col width="48" customWidth="1" style="99" min="4" max="4"/>
  </cols>
  <sheetData>
    <row r="1" ht="38.40000152587891" customHeight="1" s="99">
      <c r="A1" s="56" t="inlineStr">
        <is>
          <t>Risk Acceptance Workflow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Required when SMI is negative and deployment continues by exception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Field</t>
        </is>
      </c>
      <c r="B4" s="127" t="inlineStr">
        <is>
          <t>Requirement</t>
        </is>
      </c>
      <c r="C4" s="127" t="inlineStr">
        <is>
          <t>Value</t>
        </is>
      </c>
      <c r="D4" s="127" t="inlineStr">
        <is>
          <t>Evidence / Notes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Business Owner</t>
        </is>
      </c>
      <c r="B5" s="125" t="inlineStr">
        <is>
          <t>Named accountable business owner</t>
        </is>
      </c>
      <c r="C5" s="125" t="str"/>
      <c r="D5" s="125" t="str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Technology Owner</t>
        </is>
      </c>
      <c r="B6" s="125" t="inlineStr">
        <is>
          <t>Named accountable technical owner</t>
        </is>
      </c>
      <c r="C6" s="125" t="str"/>
      <c r="D6" s="125" t="str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Reason</t>
        </is>
      </c>
      <c r="B7" s="125" t="inlineStr">
        <is>
          <t>Why exception is needed</t>
        </is>
      </c>
      <c r="C7" s="125" t="str"/>
      <c r="D7" s="125" t="str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Compensating Controls</t>
        </is>
      </c>
      <c r="B8" s="125" t="inlineStr">
        <is>
          <t>Controls that reduce exposure</t>
        </is>
      </c>
      <c r="C8" s="125" t="str"/>
      <c r="D8" s="125" t="str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Expiration Date</t>
        </is>
      </c>
      <c r="B9" s="125" t="inlineStr">
        <is>
          <t>No open-ended exceptions</t>
        </is>
      </c>
      <c r="C9" s="125" t="str"/>
      <c r="D9" s="125" t="str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Reassessment Date</t>
        </is>
      </c>
      <c r="B10" s="125" t="inlineStr">
        <is>
          <t>Required follow-up date</t>
        </is>
      </c>
      <c r="C10" s="125" t="str"/>
      <c r="D10" s="125" t="str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Residual Risk</t>
        </is>
      </c>
      <c r="B11" s="125" t="inlineStr">
        <is>
          <t>Accepted residual risk statement</t>
        </is>
      </c>
      <c r="C11" s="125" t="str"/>
      <c r="D11" s="125" t="str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Approval Record</t>
        </is>
      </c>
      <c r="B12" s="125" t="inlineStr">
        <is>
          <t>Governance approval evidence</t>
        </is>
      </c>
      <c r="C12" s="125" t="str"/>
      <c r="D12" s="125" t="str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Decision</t>
        </is>
      </c>
      <c r="B13" s="125" t="inlineStr">
        <is>
          <t>Accept / Reject / Defer</t>
        </is>
      </c>
      <c r="C13" s="125" t="str"/>
      <c r="D13" s="125" t="str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dataValidations count="1">
    <dataValidation sqref="C12" showDropDown="0" showInputMessage="0" showErrorMessage="0" allowBlank="0" type="list">
      <formula1>"Accept,Reject,Defer"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44" customWidth="1" style="99" min="1" max="1"/>
    <col width="12" customWidth="1" style="99" min="2" max="2"/>
    <col width="16" customWidth="1" style="99" min="3" max="3"/>
    <col width="48" customWidth="1" style="99" min="4" max="4"/>
  </cols>
  <sheetData>
    <row r="1" ht="19.20000076293945" customHeight="1" s="99">
      <c r="A1" s="56" t="inlineStr">
        <is>
          <t>ASF Architecture Review Packet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24" customHeight="1" s="99">
      <c r="A2" s="58" t="inlineStr">
        <is>
          <t>Use this checklist in architecture review board or AI governance review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Review Item</t>
        </is>
      </c>
      <c r="B4" s="127" t="inlineStr">
        <is>
          <t>Required?</t>
        </is>
      </c>
      <c r="C4" s="127" t="inlineStr">
        <is>
          <t>Status</t>
        </is>
      </c>
      <c r="D4" s="127" t="inlineStr">
        <is>
          <t>Evidence / Link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Agent profile and business context</t>
        </is>
      </c>
      <c r="B5" s="125" t="inlineStr">
        <is>
          <t>Yes</t>
        </is>
      </c>
      <c r="C5" s="125" t="str"/>
      <c r="D5" s="125" t="str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Agent Bill of Materials complete</t>
        </is>
      </c>
      <c r="B6" s="125" t="inlineStr">
        <is>
          <t>Yes</t>
        </is>
      </c>
      <c r="C6" s="125" t="str"/>
      <c r="D6" s="125" t="str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AFI, EGI, SMI, orbit classification</t>
        </is>
      </c>
      <c r="B7" s="125" t="inlineStr">
        <is>
          <t>Yes</t>
        </is>
      </c>
      <c r="C7" s="125" t="str"/>
      <c r="D7" s="125" t="str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Deployment zone and default decision</t>
        </is>
      </c>
      <c r="B8" s="125" t="inlineStr">
        <is>
          <t>Yes</t>
        </is>
      </c>
      <c r="C8" s="125" t="str"/>
      <c r="D8" s="125" t="str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Architecture diagram</t>
        </is>
      </c>
      <c r="B9" s="125" t="inlineStr">
        <is>
          <t>Yes</t>
        </is>
      </c>
      <c r="C9" s="125" t="str"/>
      <c r="D9" s="125" t="str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Tool/MCP inventory</t>
        </is>
      </c>
      <c r="B10" s="125" t="inlineStr">
        <is>
          <t>Required</t>
        </is>
      </c>
      <c r="C10" s="125" t="inlineStr">
        <is>
          <t>Classify tools/MCP servers by read/write capability, action impact, reversibility, auth model, and auditability.</t>
        </is>
      </c>
      <c r="D10" s="125" t="inlineStr">
        <is>
          <t>ABOM / Tool registry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Data-source inventory</t>
        </is>
      </c>
      <c r="B11" s="125" t="inlineStr">
        <is>
          <t>Yes</t>
        </is>
      </c>
      <c r="C11" s="125" t="str"/>
      <c r="D11" s="125" t="str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Identity model</t>
        </is>
      </c>
      <c r="B12" s="125" t="inlineStr">
        <is>
          <t>Yes</t>
        </is>
      </c>
      <c r="C12" s="125" t="str"/>
      <c r="D12" s="125" t="str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Authorization model</t>
        </is>
      </c>
      <c r="B13" s="125" t="inlineStr">
        <is>
          <t>Yes</t>
        </is>
      </c>
      <c r="C13" s="125" t="str"/>
      <c r="D13" s="125" t="str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inlineStr">
        <is>
          <t>Policy enforcement model</t>
        </is>
      </c>
      <c r="B14" s="125" t="inlineStr">
        <is>
          <t>Yes</t>
        </is>
      </c>
      <c r="C14" s="125" t="str"/>
      <c r="D14" s="125" t="str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inlineStr">
        <is>
          <t>Observability model</t>
        </is>
      </c>
      <c r="B15" s="125" t="inlineStr">
        <is>
          <t>Yes</t>
        </is>
      </c>
      <c r="C15" s="125" t="str"/>
      <c r="D15" s="125" t="str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inlineStr">
        <is>
          <t>Recovery and rollback model</t>
        </is>
      </c>
      <c r="B16" s="125" t="inlineStr">
        <is>
          <t>Yes</t>
        </is>
      </c>
      <c r="C16" s="125" t="str"/>
      <c r="D16" s="125" t="str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inlineStr">
        <is>
          <t>Threat model and mitigation plan</t>
        </is>
      </c>
      <c r="B17" s="125" t="inlineStr">
        <is>
          <t>Yes</t>
        </is>
      </c>
      <c r="C17" s="125" t="str"/>
      <c r="D17" s="125" t="str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inlineStr">
        <is>
          <t>Evidence tier summary</t>
        </is>
      </c>
      <c r="B18" s="125" t="inlineStr">
        <is>
          <t>Yes</t>
        </is>
      </c>
      <c r="C18" s="125" t="str"/>
      <c r="D18" s="125" t="str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inlineStr">
        <is>
          <t>Open control gaps</t>
        </is>
      </c>
      <c r="B19" s="125" t="inlineStr">
        <is>
          <t>Yes</t>
        </is>
      </c>
      <c r="C19" s="125" t="str"/>
      <c r="D19" s="125" t="str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inlineStr">
        <is>
          <t>Risk acceptance record if applicable</t>
        </is>
      </c>
      <c r="B20" s="125" t="inlineStr">
        <is>
          <t>Yes</t>
        </is>
      </c>
      <c r="C20" s="125" t="str"/>
      <c r="D20" s="125" t="str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inlineStr">
        <is>
          <t>Reassessment date and triggers</t>
        </is>
      </c>
      <c r="B21" s="125" t="inlineStr">
        <is>
          <t>Yes</t>
        </is>
      </c>
      <c r="C21" s="125" t="str"/>
      <c r="D21" s="125" t="str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dataValidations count="1">
    <dataValidation sqref="C5:C21" showDropDown="0" showInputMessage="0" showErrorMessage="0" allowBlank="0" type="list">
      <formula1>"Not Started,In Progress,Complete,N/A"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2" customWidth="1" style="99" min="1" max="1"/>
    <col width="18" customWidth="1" style="99" min="2" max="2"/>
    <col width="42" customWidth="1" style="99" min="3" max="3"/>
    <col width="48" customWidth="1" style="99" min="4" max="4"/>
  </cols>
  <sheetData>
    <row r="1" ht="19.20000076293945" customHeight="1" s="99">
      <c r="A1" s="56" t="inlineStr">
        <is>
          <t>Deployment Gates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24" customHeight="1" s="99">
      <c r="A2" s="58" t="inlineStr">
        <is>
          <t>Default deployment decision by orbit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Orbit</t>
        </is>
      </c>
      <c r="B4" s="127" t="inlineStr">
        <is>
          <t>SMI Range</t>
        </is>
      </c>
      <c r="C4" s="127" t="inlineStr">
        <is>
          <t>Default Deployment Decision</t>
        </is>
      </c>
      <c r="D4" s="127" t="inlineStr">
        <is>
          <t>Minimum Required Action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Stable Orbit</t>
        </is>
      </c>
      <c r="B5" s="125" t="inlineStr">
        <is>
          <t>+40 to +100</t>
        </is>
      </c>
      <c r="C5" s="125" t="inlineStr">
        <is>
          <t>Approved for scale with monitoring</t>
        </is>
      </c>
      <c r="D5" s="125" t="inlineStr">
        <is>
          <t>Maintain evidence and reassessment cadence</t>
        </is>
      </c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Controlled Orbit</t>
        </is>
      </c>
      <c r="B6" s="125" t="inlineStr">
        <is>
          <t>+15 to +39</t>
        </is>
      </c>
      <c r="C6" s="125" t="inlineStr">
        <is>
          <t>Approved with standard controls</t>
        </is>
      </c>
      <c r="D6" s="125" t="inlineStr">
        <is>
          <t>Proceed with standard governance controls</t>
        </is>
      </c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Edge Orbit</t>
        </is>
      </c>
      <c r="B7" s="125" t="inlineStr">
        <is>
          <t>-14 to +14</t>
        </is>
      </c>
      <c r="C7" s="125" t="inlineStr">
        <is>
          <t>Pilot, sandbox, or limited production only</t>
        </is>
      </c>
      <c r="D7" s="125" t="inlineStr">
        <is>
          <t>Architecture review and active control uplift</t>
        </is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Unstable Orbit</t>
        </is>
      </c>
      <c r="B8" s="125" t="inlineStr">
        <is>
          <t>-15 to -39</t>
        </is>
      </c>
      <c r="C8" s="125" t="inlineStr">
        <is>
          <t>Do not expand; control uplift required</t>
        </is>
      </c>
      <c r="D8" s="125" t="inlineStr">
        <is>
          <t>Increase gravity, reduce force, or formal exception</t>
        </is>
      </c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Critical Orbit</t>
        </is>
      </c>
      <c r="B9" s="125" t="inlineStr">
        <is>
          <t>-40 to -100</t>
        </is>
      </c>
      <c r="C9" s="125" t="inlineStr">
        <is>
          <t>Do not deploy without formal exception</t>
        </is>
      </c>
      <c r="D9" s="125" t="inlineStr">
        <is>
          <t>Executive risk acceptance and major control uplift</t>
        </is>
      </c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n"/>
      <c r="B10" s="125" t="n"/>
      <c r="C10" s="125" t="n"/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n"/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8" customWidth="1" style="99" min="1" max="1"/>
    <col width="70" customWidth="1" style="99" min="2" max="2"/>
    <col width="48" customWidth="1" style="99" min="3" max="3"/>
  </cols>
  <sheetData>
    <row r="1" ht="19.20000076293945" customHeight="1" s="99">
      <c r="A1" s="56" t="inlineStr">
        <is>
          <t>Control Uplift Planner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24" customHeight="1" s="99">
      <c r="A2" s="58" t="inlineStr">
        <is>
          <t>Recommended actions based on weakest Enterprise Gravity dimension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Weakest Gravity Dimension</t>
        </is>
      </c>
      <c r="B4" s="127" t="inlineStr">
        <is>
          <t>Recommended Control Uplift</t>
        </is>
      </c>
      <c r="C4" s="127" t="inlineStr">
        <is>
          <t>Evidence Target</t>
        </is>
      </c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Identity</t>
        </is>
      </c>
      <c r="B5" s="125" t="inlineStr">
        <is>
          <t>Assign dedicated workload identity; remove shared credentials; add ownership metadata.</t>
        </is>
      </c>
      <c r="C5" s="125" t="inlineStr">
        <is>
          <t>Tier 3+ identity test or Tier 4 runtime identity logs</t>
        </is>
      </c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26.39999961853027" customHeight="1" s="99">
      <c r="A6" s="125" t="inlineStr">
        <is>
          <t>Authorization</t>
        </is>
      </c>
      <c r="B6" s="125" t="inlineStr">
        <is>
          <t>Apply least privilege by tool, workflow, environment, and risk level; add JIT access where needed.</t>
        </is>
      </c>
      <c r="C6" s="125" t="inlineStr">
        <is>
          <t>Permission boundary evidence and access logs</t>
        </is>
      </c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Policy Enforcement</t>
        </is>
      </c>
      <c r="B7" s="125" t="inlineStr">
        <is>
          <t>Add pre-execution and runtime policy checks; externalize policy decisions where practical.</t>
        </is>
      </c>
      <c r="C7" s="125" t="inlineStr">
        <is>
          <t>Policy-as-code tests and runtime decision logs</t>
        </is>
      </c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Observability</t>
        </is>
      </c>
      <c r="B8" s="125" t="inlineStr">
        <is>
          <t>Capture prompt, plan, tool-call, policy, approval, action, and outcome traces.</t>
        </is>
      </c>
      <c r="C8" s="125" t="inlineStr">
        <is>
          <t>End-to-end trace samples</t>
        </is>
      </c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Governance and Lifecycle</t>
        </is>
      </c>
      <c r="B9" s="125" t="inlineStr">
        <is>
          <t>Register agent, model, tools, memory, and policies in catalog; define owner and lifecycle.</t>
        </is>
      </c>
      <c r="C9" s="125" t="inlineStr">
        <is>
          <t>Catalog record and approval workflow</t>
        </is>
      </c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Recovery and Resilience</t>
        </is>
      </c>
      <c r="B10" s="125" t="inlineStr">
        <is>
          <t>Add kill switch, rollback, circuit breaker, blast-radius isolation, and recovery drills.</t>
        </is>
      </c>
      <c r="C10" s="125" t="inlineStr">
        <is>
          <t>Rollback/kill-switch test evidence</t>
        </is>
      </c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26.39999961853027" customHeight="1" s="99">
      <c r="A11" s="125" t="inlineStr">
        <is>
          <t>Assurance and Evaluation</t>
        </is>
      </c>
      <c r="B11" s="125" t="inlineStr">
        <is>
          <t>Add scenario tests, red-team tests, runtime evaluation, drift monitoring, and outcome validation.</t>
        </is>
      </c>
      <c r="C11" s="125" t="inlineStr">
        <is>
          <t>Evaluation reports and runtime monitor evidence</t>
        </is>
      </c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24" customWidth="1" style="99" min="1" max="1"/>
    <col width="44" customWidth="1" style="99" min="2" max="2"/>
    <col width="54" customWidth="1" style="99" min="3" max="3"/>
    <col width="70" customWidth="1" style="99" min="4" max="4"/>
  </cols>
  <sheetData>
    <row r="1" ht="19.20000076293945" customHeight="1" s="99">
      <c r="A1" s="56" t="inlineStr">
        <is>
          <t>Standards Alignment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ASF complements existing risk, security, management-system, and policy frameworks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Framework</t>
        </is>
      </c>
      <c r="B4" s="127" t="inlineStr">
        <is>
          <t>Primary Purpose</t>
        </is>
      </c>
      <c r="C4" s="127" t="inlineStr">
        <is>
          <t>ASF Relationship</t>
        </is>
      </c>
      <c r="D4" s="127" t="inlineStr">
        <is>
          <t>Source URL</t>
        </is>
      </c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26.39999961853027" customHeight="1" s="99">
      <c r="A5" s="125" t="inlineStr">
        <is>
          <t>NIST AI RMF</t>
        </is>
      </c>
      <c r="B5" s="125" t="inlineStr">
        <is>
          <t>AI risk management through Govern, Map, Measure, Manage</t>
        </is>
      </c>
      <c r="C5" s="125" t="inlineStr">
        <is>
          <t>Agent-level stability scoring inside broader AI risk management</t>
        </is>
      </c>
      <c r="D5" s="125" t="inlineStr">
        <is>
          <t>https://airc.nist.gov/airmf-resources/airmf/5-sec-core/</t>
        </is>
      </c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ISO/IEC 42001</t>
        </is>
      </c>
      <c r="B6" s="125" t="inlineStr">
        <is>
          <t>AI management-system requirements and guidance</t>
        </is>
      </c>
      <c r="C6" s="125" t="inlineStr">
        <is>
          <t>Architecture assessment method for agentic systems under AIMS</t>
        </is>
      </c>
      <c r="D6" s="125" t="inlineStr">
        <is>
          <t>https://www.iso.org/standard/42001</t>
        </is>
      </c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OWASP Agentic AI</t>
        </is>
      </c>
      <c r="B7" s="125" t="inlineStr">
        <is>
          <t>Threats and mitigations for agentic AI</t>
        </is>
      </c>
      <c r="C7" s="125" t="inlineStr">
        <is>
          <t>Input to Assurance, Policy, and threat-model gates</t>
        </is>
      </c>
      <c r="D7" s="125" t="inlineStr">
        <is>
          <t>https://genai.owasp.org/resource/agentic-ai-threats-and-mitigations/</t>
        </is>
      </c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26.39999961853027" customHeight="1" s="99">
      <c r="A8" s="125" t="inlineStr">
        <is>
          <t>OWASP Multi-Agent Threat Modeling</t>
        </is>
      </c>
      <c r="B8" s="125" t="inlineStr">
        <is>
          <t>Threat modeling for multi-agent systems</t>
        </is>
      </c>
      <c r="C8" s="125" t="inlineStr">
        <is>
          <t>Threat model gate for multi-agent and high-force agents</t>
        </is>
      </c>
      <c r="D8" s="125" t="inlineStr">
        <is>
          <t>https://genai.owasp.org/resource/multi-agentic-system-threat-modeling-guide-v1-0/</t>
        </is>
      </c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OPA/Rego</t>
        </is>
      </c>
      <c r="B9" s="125" t="inlineStr">
        <is>
          <t>Policy-as-code and externalized policy decisions</t>
        </is>
      </c>
      <c r="C9" s="125" t="inlineStr">
        <is>
          <t>Enterprise Gravity component for policy enforcement</t>
        </is>
      </c>
      <c r="D9" s="125" t="inlineStr">
        <is>
          <t>https://openpolicyagent.org/docs/policy-language</t>
        </is>
      </c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Zero Trust</t>
        </is>
      </c>
      <c r="B10" s="125" t="inlineStr">
        <is>
          <t>Continuous verification of access</t>
        </is>
      </c>
      <c r="C10" s="125" t="inlineStr">
        <is>
          <t>Extended to agent identity, context, memory, tools, and actions</t>
        </is>
      </c>
      <c r="D10" s="125" t="inlineStr">
        <is>
          <t>https://www.nist.gov/publications/zero-trust-architecture</t>
        </is>
      </c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n"/>
      <c r="B11" s="125" t="n"/>
      <c r="C11" s="125" t="n"/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n"/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n"/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n"/>
      <c r="B14" s="125" t="n"/>
      <c r="C14" s="125" t="n"/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25" t="n"/>
      <c r="B15" s="125" t="n"/>
      <c r="C15" s="125" t="n"/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n"/>
      <c r="B16" s="125" t="n"/>
      <c r="C16" s="125" t="n"/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n"/>
      <c r="B17" s="125" t="n"/>
      <c r="C17" s="125" t="n"/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n"/>
      <c r="B18" s="125" t="n"/>
      <c r="C18" s="125" t="n"/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125" t="n"/>
      <c r="B19" s="125" t="n"/>
      <c r="C19" s="125" t="n"/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54" t="inlineStr">
        <is>
          <t>License</t>
        </is>
      </c>
      <c r="B118" s="120" t="inlineStr">
        <is>
          <t>© 2026 Sumir Arora. Licensed under Creative Commons Attribution 4.0 International (CC BY 4.0).</t>
        </is>
      </c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selection activeCell="A1" sqref="A1"/>
    </sheetView>
  </sheetViews>
  <sheetFormatPr baseColWidth="8" defaultRowHeight="15"/>
  <cols>
    <col width="12" customWidth="1" style="99" min="1" max="1"/>
    <col width="42" customWidth="1" style="99" min="2" max="2"/>
    <col width="70" customWidth="1" style="99" min="3" max="3"/>
  </cols>
  <sheetData>
    <row r="1" ht="76.80000305175781" customHeight="1" s="99">
      <c r="A1" s="56" t="inlineStr">
        <is>
          <t>ASF Workbook Change Log - v1.0 Initial Public Release</t>
        </is>
      </c>
      <c r="B1" s="1" t="n"/>
      <c r="C1" s="1" t="n"/>
      <c r="D1" s="1" t="n"/>
      <c r="E1" s="1" t="n"/>
      <c r="F1" s="1" t="n"/>
      <c r="G1" s="1" t="n"/>
      <c r="H1" s="1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</row>
    <row r="2" ht="36" customHeight="1" s="99">
      <c r="A2" s="58" t="inlineStr">
        <is>
          <t>Version history through v1.0 Initial Public Release</t>
        </is>
      </c>
      <c r="B2" s="1" t="n"/>
      <c r="C2" s="1" t="n"/>
      <c r="D2" s="1" t="n"/>
      <c r="E2" s="1" t="n"/>
      <c r="F2" s="1" t="n"/>
      <c r="G2" s="1" t="n"/>
      <c r="H2" s="1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5" t="n"/>
      <c r="S2" s="125" t="n"/>
      <c r="T2" s="125" t="n"/>
      <c r="U2" s="125" t="n"/>
      <c r="V2" s="125" t="n"/>
      <c r="W2" s="125" t="n"/>
      <c r="X2" s="125" t="n"/>
      <c r="Y2" s="125" t="n"/>
      <c r="Z2" s="125" t="n"/>
      <c r="AA2" s="125" t="n"/>
      <c r="AB2" s="125" t="n"/>
      <c r="AC2" s="125" t="n"/>
      <c r="AD2" s="125" t="n"/>
      <c r="AE2" s="125" t="n"/>
      <c r="AF2" s="125" t="n"/>
    </row>
    <row r="3" ht="15" customHeight="1" s="99">
      <c r="A3" s="125" t="n"/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25" t="n"/>
      <c r="T3" s="125" t="n"/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</row>
    <row r="4" ht="15" customHeight="1" s="99">
      <c r="A4" s="127" t="inlineStr">
        <is>
          <t>Version</t>
        </is>
      </c>
      <c r="B4" s="127" t="inlineStr">
        <is>
          <t>Change</t>
        </is>
      </c>
      <c r="C4" s="127" t="inlineStr">
        <is>
          <t>Rationale</t>
        </is>
      </c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5" t="n"/>
      <c r="R4" s="125" t="n"/>
      <c r="S4" s="125" t="n"/>
      <c r="T4" s="125" t="n"/>
      <c r="U4" s="125" t="n"/>
      <c r="V4" s="125" t="n"/>
      <c r="W4" s="125" t="n"/>
      <c r="X4" s="125" t="n"/>
      <c r="Y4" s="125" t="n"/>
      <c r="Z4" s="125" t="n"/>
      <c r="AA4" s="125" t="n"/>
      <c r="AB4" s="125" t="n"/>
      <c r="AC4" s="125" t="n"/>
      <c r="AD4" s="125" t="n"/>
      <c r="AE4" s="125" t="n"/>
      <c r="AF4" s="125" t="n"/>
    </row>
    <row r="5" ht="15" customHeight="1" s="99">
      <c r="A5" s="125" t="inlineStr">
        <is>
          <t>0.2</t>
        </is>
      </c>
      <c r="B5" s="125" t="inlineStr">
        <is>
          <t>Added Basic and Advanced scoring modes</t>
        </is>
      </c>
      <c r="C5" s="125" t="inlineStr">
        <is>
          <t>Equal-weight scoring alone is not sufficient for production contexts</t>
        </is>
      </c>
      <c r="D5" s="125" t="n"/>
      <c r="E5" s="125" t="n"/>
      <c r="F5" s="125" t="n"/>
      <c r="G5" s="125" t="n"/>
      <c r="H5" s="125" t="n"/>
      <c r="I5" s="125" t="n"/>
      <c r="J5" s="125" t="n"/>
      <c r="K5" s="125" t="n"/>
      <c r="L5" s="125" t="n"/>
      <c r="M5" s="125" t="n"/>
      <c r="N5" s="125" t="n"/>
      <c r="O5" s="125" t="n"/>
      <c r="P5" s="125" t="n"/>
      <c r="Q5" s="125" t="n"/>
      <c r="R5" s="125" t="n"/>
      <c r="S5" s="125" t="n"/>
      <c r="T5" s="125" t="n"/>
      <c r="U5" s="125" t="n"/>
      <c r="V5" s="125" t="n"/>
      <c r="W5" s="125" t="n"/>
      <c r="X5" s="125" t="n"/>
      <c r="Y5" s="125" t="n"/>
      <c r="Z5" s="125" t="n"/>
      <c r="AA5" s="125" t="n"/>
      <c r="AB5" s="125" t="n"/>
      <c r="AC5" s="125" t="n"/>
      <c r="AD5" s="125" t="n"/>
      <c r="AE5" s="125" t="n"/>
      <c r="AF5" s="125" t="n"/>
    </row>
    <row r="6" ht="15" customHeight="1" s="99">
      <c r="A6" s="125" t="inlineStr">
        <is>
          <t>0.2</t>
        </is>
      </c>
      <c r="B6" s="125" t="inlineStr">
        <is>
          <t>Added Evidence Tiers</t>
        </is>
      </c>
      <c r="C6" s="125" t="inlineStr">
        <is>
          <t>EGI scores must be supported by control evidence</t>
        </is>
      </c>
      <c r="D6" s="125" t="n"/>
      <c r="E6" s="125" t="n"/>
      <c r="F6" s="125" t="n"/>
      <c r="G6" s="125" t="n"/>
      <c r="H6" s="125" t="n"/>
      <c r="I6" s="125" t="n"/>
      <c r="J6" s="125" t="n"/>
      <c r="K6" s="125" t="n"/>
      <c r="L6" s="125" t="n"/>
      <c r="M6" s="125" t="n"/>
      <c r="N6" s="125" t="n"/>
      <c r="O6" s="125" t="n"/>
      <c r="P6" s="125" t="n"/>
      <c r="Q6" s="125" t="n"/>
      <c r="R6" s="125" t="n"/>
      <c r="S6" s="125" t="n"/>
      <c r="T6" s="125" t="n"/>
      <c r="U6" s="125" t="n"/>
      <c r="V6" s="125" t="n"/>
      <c r="W6" s="125" t="n"/>
      <c r="X6" s="125" t="n"/>
      <c r="Y6" s="125" t="n"/>
      <c r="Z6" s="125" t="n"/>
      <c r="AA6" s="125" t="n"/>
      <c r="AB6" s="125" t="n"/>
      <c r="AC6" s="125" t="n"/>
      <c r="AD6" s="125" t="n"/>
      <c r="AE6" s="125" t="n"/>
      <c r="AF6" s="125" t="n"/>
    </row>
    <row r="7" ht="15" customHeight="1" s="99">
      <c r="A7" s="125" t="inlineStr">
        <is>
          <t>0.2</t>
        </is>
      </c>
      <c r="B7" s="125" t="inlineStr">
        <is>
          <t>Added ABOM template</t>
        </is>
      </c>
      <c r="C7" s="125" t="inlineStr">
        <is>
          <t>Agents need component and dependency inventory</t>
        </is>
      </c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5" t="n"/>
      <c r="N7" s="125" t="n"/>
      <c r="O7" s="125" t="n"/>
      <c r="P7" s="125" t="n"/>
      <c r="Q7" s="125" t="n"/>
      <c r="R7" s="125" t="n"/>
      <c r="S7" s="125" t="n"/>
      <c r="T7" s="125" t="n"/>
      <c r="U7" s="125" t="n"/>
      <c r="V7" s="125" t="n"/>
      <c r="W7" s="125" t="n"/>
      <c r="X7" s="125" t="n"/>
      <c r="Y7" s="125" t="n"/>
      <c r="Z7" s="125" t="n"/>
      <c r="AA7" s="125" t="n"/>
      <c r="AB7" s="125" t="n"/>
      <c r="AC7" s="125" t="n"/>
      <c r="AD7" s="125" t="n"/>
      <c r="AE7" s="125" t="n"/>
      <c r="AF7" s="125" t="n"/>
    </row>
    <row r="8" ht="15" customHeight="1" s="99">
      <c r="A8" s="125" t="inlineStr">
        <is>
          <t>0.2</t>
        </is>
      </c>
      <c r="B8" s="125" t="inlineStr">
        <is>
          <t>Added Threat Model gate</t>
        </is>
      </c>
      <c r="C8" s="125" t="inlineStr">
        <is>
          <t>High-force agents require security analysis</t>
        </is>
      </c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5" t="n"/>
      <c r="N8" s="125" t="n"/>
      <c r="O8" s="125" t="n"/>
      <c r="P8" s="125" t="n"/>
      <c r="Q8" s="125" t="n"/>
      <c r="R8" s="125" t="n"/>
      <c r="S8" s="125" t="n"/>
      <c r="T8" s="125" t="n"/>
      <c r="U8" s="125" t="n"/>
      <c r="V8" s="125" t="n"/>
      <c r="W8" s="125" t="n"/>
      <c r="X8" s="125" t="n"/>
      <c r="Y8" s="125" t="n"/>
      <c r="Z8" s="125" t="n"/>
      <c r="AA8" s="125" t="n"/>
      <c r="AB8" s="125" t="n"/>
      <c r="AC8" s="125" t="n"/>
      <c r="AD8" s="125" t="n"/>
      <c r="AE8" s="125" t="n"/>
      <c r="AF8" s="125" t="n"/>
    </row>
    <row r="9" ht="15" customHeight="1" s="99">
      <c r="A9" s="125" t="inlineStr">
        <is>
          <t>0.2</t>
        </is>
      </c>
      <c r="B9" s="125" t="inlineStr">
        <is>
          <t>Added Domain Overlays</t>
        </is>
      </c>
      <c r="C9" s="125" t="inlineStr">
        <is>
          <t>Different agent domains require different scoring emphasis</t>
        </is>
      </c>
      <c r="D9" s="125" t="n"/>
      <c r="E9" s="125" t="n"/>
      <c r="F9" s="125" t="n"/>
      <c r="G9" s="125" t="n"/>
      <c r="H9" s="125" t="n"/>
      <c r="I9" s="125" t="n"/>
      <c r="J9" s="125" t="n"/>
      <c r="K9" s="125" t="n"/>
      <c r="L9" s="125" t="n"/>
      <c r="M9" s="125" t="n"/>
      <c r="N9" s="125" t="n"/>
      <c r="O9" s="125" t="n"/>
      <c r="P9" s="125" t="n"/>
      <c r="Q9" s="125" t="n"/>
      <c r="R9" s="125" t="n"/>
      <c r="S9" s="125" t="n"/>
      <c r="T9" s="125" t="n"/>
      <c r="U9" s="125" t="n"/>
      <c r="V9" s="125" t="n"/>
      <c r="W9" s="125" t="n"/>
      <c r="X9" s="125" t="n"/>
      <c r="Y9" s="125" t="n"/>
      <c r="Z9" s="125" t="n"/>
      <c r="AA9" s="125" t="n"/>
      <c r="AB9" s="125" t="n"/>
      <c r="AC9" s="125" t="n"/>
      <c r="AD9" s="125" t="n"/>
      <c r="AE9" s="125" t="n"/>
      <c r="AF9" s="125" t="n"/>
    </row>
    <row r="10" ht="15" customHeight="1" s="99">
      <c r="A10" s="125" t="inlineStr">
        <is>
          <t>0.2</t>
        </is>
      </c>
      <c r="B10" s="125" t="inlineStr">
        <is>
          <t>Added Risk Acceptance workflow</t>
        </is>
      </c>
      <c r="C10" s="125" t="inlineStr">
        <is>
          <t>Negative SMI requires formal governance path</t>
        </is>
      </c>
      <c r="D10" s="125" t="n"/>
      <c r="E10" s="125" t="n"/>
      <c r="F10" s="125" t="n"/>
      <c r="G10" s="125" t="n"/>
      <c r="H10" s="125" t="n"/>
      <c r="I10" s="125" t="n"/>
      <c r="J10" s="125" t="n"/>
      <c r="K10" s="125" t="n"/>
      <c r="L10" s="125" t="n"/>
      <c r="M10" s="125" t="n"/>
      <c r="N10" s="125" t="n"/>
      <c r="O10" s="125" t="n"/>
      <c r="P10" s="125" t="n"/>
      <c r="Q10" s="125" t="n"/>
      <c r="R10" s="125" t="n"/>
      <c r="S10" s="125" t="n"/>
      <c r="T10" s="125" t="n"/>
      <c r="U10" s="125" t="n"/>
      <c r="V10" s="125" t="n"/>
      <c r="W10" s="125" t="n"/>
      <c r="X10" s="125" t="n"/>
      <c r="Y10" s="125" t="n"/>
      <c r="Z10" s="125" t="n"/>
      <c r="AA10" s="125" t="n"/>
      <c r="AB10" s="125" t="n"/>
      <c r="AC10" s="125" t="n"/>
      <c r="AD10" s="125" t="n"/>
      <c r="AE10" s="125" t="n"/>
      <c r="AF10" s="125" t="n"/>
    </row>
    <row r="11" ht="15" customHeight="1" s="99">
      <c r="A11" s="125" t="inlineStr">
        <is>
          <t>0.2</t>
        </is>
      </c>
      <c r="B11" s="125" t="inlineStr">
        <is>
          <t>Added Architecture Review Packet</t>
        </is>
      </c>
      <c r="C11" s="125" t="inlineStr">
        <is>
          <t>Makes ASF usable in ARB / governance review</t>
        </is>
      </c>
      <c r="D11" s="125" t="n"/>
      <c r="E11" s="125" t="n"/>
      <c r="F11" s="125" t="n"/>
      <c r="G11" s="125" t="n"/>
      <c r="H11" s="125" t="n"/>
      <c r="I11" s="125" t="n"/>
      <c r="J11" s="125" t="n"/>
      <c r="K11" s="125" t="n"/>
      <c r="L11" s="125" t="n"/>
      <c r="M11" s="125" t="n"/>
      <c r="N11" s="125" t="n"/>
      <c r="O11" s="125" t="n"/>
      <c r="P11" s="125" t="n"/>
      <c r="Q11" s="125" t="n"/>
      <c r="R11" s="125" t="n"/>
      <c r="S11" s="125" t="n"/>
      <c r="T11" s="125" t="n"/>
      <c r="U11" s="125" t="n"/>
      <c r="V11" s="125" t="n"/>
      <c r="W11" s="125" t="n"/>
      <c r="X11" s="125" t="n"/>
      <c r="Y11" s="125" t="n"/>
      <c r="Z11" s="125" t="n"/>
      <c r="AA11" s="125" t="n"/>
      <c r="AB11" s="125" t="n"/>
      <c r="AC11" s="125" t="n"/>
      <c r="AD11" s="125" t="n"/>
      <c r="AE11" s="125" t="n"/>
      <c r="AF11" s="125" t="n"/>
    </row>
    <row r="12" ht="15" customHeight="1" s="99">
      <c r="A12" s="125" t="inlineStr">
        <is>
          <t>0.2</t>
        </is>
      </c>
      <c r="B12" s="125" t="inlineStr">
        <is>
          <t>Added Deployment Gates</t>
        </is>
      </c>
      <c r="C12" s="125" t="inlineStr">
        <is>
          <t>Connects orbit to decision action</t>
        </is>
      </c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5" t="n"/>
      <c r="N12" s="125" t="n"/>
      <c r="O12" s="125" t="n"/>
      <c r="P12" s="125" t="n"/>
      <c r="Q12" s="125" t="n"/>
      <c r="R12" s="125" t="n"/>
      <c r="S12" s="125" t="n"/>
      <c r="T12" s="125" t="n"/>
      <c r="U12" s="125" t="n"/>
      <c r="V12" s="125" t="n"/>
      <c r="W12" s="125" t="n"/>
      <c r="X12" s="125" t="n"/>
      <c r="Y12" s="125" t="n"/>
      <c r="Z12" s="125" t="n"/>
      <c r="AA12" s="125" t="n"/>
      <c r="AB12" s="125" t="n"/>
      <c r="AC12" s="125" t="n"/>
      <c r="AD12" s="125" t="n"/>
      <c r="AE12" s="125" t="n"/>
      <c r="AF12" s="125" t="n"/>
    </row>
    <row r="13" ht="15" customHeight="1" s="99">
      <c r="A13" s="125" t="inlineStr">
        <is>
          <t>0.2</t>
        </is>
      </c>
      <c r="B13" s="125" t="inlineStr">
        <is>
          <t>Added dashboard warnings</t>
        </is>
      </c>
      <c r="C13" s="125" t="inlineStr">
        <is>
          <t>Surfaces governance debt, missing ABOM, threat model needs</t>
        </is>
      </c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5" t="n"/>
      <c r="N13" s="125" t="n"/>
      <c r="O13" s="125" t="n"/>
      <c r="P13" s="125" t="n"/>
      <c r="Q13" s="125" t="n"/>
      <c r="R13" s="125" t="n"/>
      <c r="S13" s="125" t="n"/>
      <c r="T13" s="125" t="n"/>
      <c r="U13" s="125" t="n"/>
      <c r="V13" s="125" t="n"/>
      <c r="W13" s="125" t="n"/>
      <c r="X13" s="125" t="n"/>
      <c r="Y13" s="125" t="n"/>
      <c r="Z13" s="125" t="n"/>
      <c r="AA13" s="125" t="n"/>
      <c r="AB13" s="125" t="n"/>
      <c r="AC13" s="125" t="n"/>
      <c r="AD13" s="125" t="n"/>
      <c r="AE13" s="125" t="n"/>
      <c r="AF13" s="125" t="n"/>
    </row>
    <row r="14" ht="15" customHeight="1" s="99">
      <c r="A14" s="125" t="inlineStr">
        <is>
          <t>0.1</t>
        </is>
      </c>
      <c r="B14" s="125" t="inlineStr">
        <is>
          <t>Initial ASF workbook</t>
        </is>
      </c>
      <c r="C14" s="125" t="inlineStr">
        <is>
          <t>AFI, EGI, SMI, orbit, rubrics, standards map</t>
        </is>
      </c>
      <c r="D14" s="125" t="n"/>
      <c r="E14" s="125" t="n"/>
      <c r="F14" s="125" t="n"/>
      <c r="G14" s="125" t="n"/>
      <c r="H14" s="125" t="n"/>
      <c r="I14" s="125" t="n"/>
      <c r="J14" s="125" t="n"/>
      <c r="K14" s="125" t="n"/>
      <c r="L14" s="125" t="n"/>
      <c r="M14" s="125" t="n"/>
      <c r="N14" s="125" t="n"/>
      <c r="O14" s="125" t="n"/>
      <c r="P14" s="125" t="n"/>
      <c r="Q14" s="125" t="n"/>
      <c r="R14" s="125" t="n"/>
      <c r="S14" s="125" t="n"/>
      <c r="T14" s="125" t="n"/>
      <c r="U14" s="125" t="n"/>
      <c r="V14" s="125" t="n"/>
      <c r="W14" s="125" t="n"/>
      <c r="X14" s="125" t="n"/>
      <c r="Y14" s="125" t="n"/>
      <c r="Z14" s="125" t="n"/>
      <c r="AA14" s="125" t="n"/>
      <c r="AB14" s="125" t="n"/>
      <c r="AC14" s="125" t="n"/>
      <c r="AD14" s="125" t="n"/>
      <c r="AE14" s="125" t="n"/>
      <c r="AF14" s="125" t="n"/>
    </row>
    <row r="15" ht="15" customHeight="1" s="99">
      <c r="A15" s="131" t="n">
        <v>46208</v>
      </c>
      <c r="B15" s="125" t="inlineStr">
        <is>
          <t>v0.3</t>
        </is>
      </c>
      <c r="C15" s="125" t="inlineStr">
        <is>
          <t>Added editorial hardening references and real worked example sheet.</t>
        </is>
      </c>
      <c r="D15" s="125" t="n"/>
      <c r="E15" s="125" t="n"/>
      <c r="F15" s="125" t="n"/>
      <c r="G15" s="125" t="n"/>
      <c r="H15" s="125" t="n"/>
      <c r="I15" s="125" t="n"/>
      <c r="J15" s="125" t="n"/>
      <c r="K15" s="125" t="n"/>
      <c r="L15" s="125" t="n"/>
      <c r="M15" s="125" t="n"/>
      <c r="N15" s="125" t="n"/>
      <c r="O15" s="125" t="n"/>
      <c r="P15" s="125" t="n"/>
      <c r="Q15" s="125" t="n"/>
      <c r="R15" s="125" t="n"/>
      <c r="S15" s="125" t="n"/>
      <c r="T15" s="125" t="n"/>
      <c r="U15" s="125" t="n"/>
      <c r="V15" s="125" t="n"/>
      <c r="W15" s="125" t="n"/>
      <c r="X15" s="125" t="n"/>
      <c r="Y15" s="125" t="n"/>
      <c r="Z15" s="125" t="n"/>
      <c r="AA15" s="125" t="n"/>
      <c r="AB15" s="125" t="n"/>
      <c r="AC15" s="125" t="n"/>
      <c r="AD15" s="125" t="n"/>
      <c r="AE15" s="125" t="n"/>
      <c r="AF15" s="125" t="n"/>
    </row>
    <row r="16" ht="15" customHeight="1" s="99">
      <c r="A16" s="125" t="inlineStr">
        <is>
          <t>0.4</t>
        </is>
      </c>
      <c r="B16" s="125" t="inlineStr">
        <is>
          <t>Replaced real example with anonymized financial-services client-request automation agent and proofread publication package.</t>
        </is>
      </c>
      <c r="C16" s="125" t="inlineStr">
        <is>
          <t>Aligns whitepaper/workbook example with stronger executive-facing use case and removes API-change naming inconsistency.</t>
        </is>
      </c>
      <c r="D16" s="125" t="n"/>
      <c r="E16" s="125" t="n"/>
      <c r="F16" s="125" t="n"/>
      <c r="G16" s="125" t="n"/>
      <c r="H16" s="125" t="n"/>
      <c r="I16" s="125" t="n"/>
      <c r="J16" s="125" t="n"/>
      <c r="K16" s="125" t="n"/>
      <c r="L16" s="125" t="n"/>
      <c r="M16" s="125" t="n"/>
      <c r="N16" s="125" t="n"/>
      <c r="O16" s="125" t="n"/>
      <c r="P16" s="125" t="n"/>
      <c r="Q16" s="125" t="n"/>
      <c r="R16" s="125" t="n"/>
      <c r="S16" s="125" t="n"/>
      <c r="T16" s="125" t="n"/>
      <c r="U16" s="125" t="n"/>
      <c r="V16" s="125" t="n"/>
      <c r="W16" s="125" t="n"/>
      <c r="X16" s="125" t="n"/>
      <c r="Y16" s="125" t="n"/>
      <c r="Z16" s="125" t="n"/>
      <c r="AA16" s="125" t="n"/>
      <c r="AB16" s="125" t="n"/>
      <c r="AC16" s="125" t="n"/>
      <c r="AD16" s="125" t="n"/>
      <c r="AE16" s="125" t="n"/>
      <c r="AF16" s="125" t="n"/>
    </row>
    <row r="17" ht="15" customHeight="1" s="99">
      <c r="A17" s="125" t="inlineStr">
        <is>
          <t>v0.4 Public RFC</t>
        </is>
      </c>
      <c r="B17" s="125" t="inlineStr">
        <is>
          <t>2026-07-06</t>
        </is>
      </c>
      <c r="C17" s="125" t="inlineStr">
        <is>
          <t>Aligned workbook sample rows with whitepaper summary values; added publication license/status metadata.</t>
        </is>
      </c>
      <c r="D17" s="125" t="n"/>
      <c r="E17" s="125" t="n"/>
      <c r="F17" s="125" t="n"/>
      <c r="G17" s="125" t="n"/>
      <c r="H17" s="125" t="n"/>
      <c r="I17" s="125" t="n"/>
      <c r="J17" s="125" t="n"/>
      <c r="K17" s="125" t="n"/>
      <c r="L17" s="125" t="n"/>
      <c r="M17" s="125" t="n"/>
      <c r="N17" s="125" t="n"/>
      <c r="O17" s="125" t="n"/>
      <c r="P17" s="125" t="n"/>
      <c r="Q17" s="125" t="n"/>
      <c r="R17" s="125" t="n"/>
      <c r="S17" s="125" t="n"/>
      <c r="T17" s="125" t="n"/>
      <c r="U17" s="125" t="n"/>
      <c r="V17" s="125" t="n"/>
      <c r="W17" s="125" t="n"/>
      <c r="X17" s="125" t="n"/>
      <c r="Y17" s="125" t="n"/>
      <c r="Z17" s="125" t="n"/>
      <c r="AA17" s="125" t="n"/>
      <c r="AB17" s="125" t="n"/>
      <c r="AC17" s="125" t="n"/>
      <c r="AD17" s="125" t="n"/>
      <c r="AE17" s="125" t="n"/>
      <c r="AF17" s="125" t="n"/>
    </row>
    <row r="18" ht="15" customHeight="1" s="99">
      <c r="A18" s="125" t="inlineStr">
        <is>
          <t>v1.0</t>
        </is>
      </c>
      <c r="B18" s="125" t="inlineStr">
        <is>
          <t>Clarified ASF assessment unit as agentic system instance and expanded ABOM/tool-MCP boundary fields.</t>
        </is>
      </c>
      <c r="C18" s="125" t="inlineStr">
        <is>
          <t>Prevents misinterpretation that ASF scores a naked model or agent without tools, memory, identity, permissions, and context.</t>
        </is>
      </c>
      <c r="D18" s="125" t="n"/>
      <c r="E18" s="125" t="n"/>
      <c r="F18" s="125" t="n"/>
      <c r="G18" s="125" t="n"/>
      <c r="H18" s="125" t="n"/>
      <c r="I18" s="125" t="n"/>
      <c r="J18" s="125" t="n"/>
      <c r="K18" s="125" t="n"/>
      <c r="L18" s="125" t="n"/>
      <c r="M18" s="125" t="n"/>
      <c r="N18" s="125" t="n"/>
      <c r="O18" s="125" t="n"/>
      <c r="P18" s="125" t="n"/>
      <c r="Q18" s="125" t="n"/>
      <c r="R18" s="125" t="n"/>
      <c r="S18" s="125" t="n"/>
      <c r="T18" s="125" t="n"/>
      <c r="U18" s="125" t="n"/>
      <c r="V18" s="125" t="n"/>
      <c r="W18" s="125" t="n"/>
      <c r="X18" s="125" t="n"/>
      <c r="Y18" s="125" t="n"/>
      <c r="Z18" s="125" t="n"/>
      <c r="AA18" s="125" t="n"/>
      <c r="AB18" s="125" t="n"/>
      <c r="AC18" s="125" t="n"/>
      <c r="AD18" s="125" t="n"/>
      <c r="AE18" s="125" t="n"/>
      <c r="AF18" s="125" t="n"/>
    </row>
    <row r="19" ht="15" customHeight="1" s="99">
      <c r="A19" s="57" t="inlineStr">
        <is>
          <t>v1.0</t>
        </is>
      </c>
      <c r="B19" s="57" t="inlineStr">
        <is>
          <t>Corrected the Threat Model gate to reference valid orbits (Edge, Unstable, Critical)</t>
        </is>
      </c>
      <c r="C19" s="57" t="inlineStr">
        <is>
          <t>Aligned the gate with the five-orbit taxonomy used across the Dashboard and Deployment Gates tabs</t>
        </is>
      </c>
      <c r="D19" s="125" t="n"/>
      <c r="E19" s="125" t="n"/>
      <c r="F19" s="125" t="n"/>
      <c r="G19" s="125" t="n"/>
      <c r="H19" s="125" t="n"/>
      <c r="I19" s="125" t="n"/>
      <c r="J19" s="125" t="n"/>
      <c r="K19" s="125" t="n"/>
      <c r="L19" s="125" t="n"/>
      <c r="M19" s="125" t="n"/>
      <c r="N19" s="125" t="n"/>
      <c r="O19" s="125" t="n"/>
      <c r="P19" s="125" t="n"/>
      <c r="Q19" s="125" t="n"/>
      <c r="R19" s="125" t="n"/>
      <c r="S19" s="125" t="n"/>
      <c r="T19" s="125" t="n"/>
      <c r="U19" s="125" t="n"/>
      <c r="V19" s="125" t="n"/>
      <c r="W19" s="125" t="n"/>
      <c r="X19" s="125" t="n"/>
      <c r="Y19" s="125" t="n"/>
      <c r="Z19" s="125" t="n"/>
      <c r="AA19" s="125" t="n"/>
      <c r="AB19" s="125" t="n"/>
      <c r="AC19" s="125" t="n"/>
      <c r="AD19" s="125" t="n"/>
      <c r="AE19" s="125" t="n"/>
      <c r="AF19" s="125" t="n"/>
    </row>
    <row r="20" ht="15" customHeight="1" s="99">
      <c r="A20" s="125" t="n"/>
      <c r="B20" s="125" t="n"/>
      <c r="C20" s="125" t="n"/>
      <c r="D20" s="125" t="n"/>
      <c r="E20" s="125" t="n"/>
      <c r="F20" s="125" t="n"/>
      <c r="G20" s="125" t="n"/>
      <c r="H20" s="125" t="n"/>
      <c r="I20" s="125" t="n"/>
      <c r="J20" s="125" t="n"/>
      <c r="K20" s="125" t="n"/>
      <c r="L20" s="125" t="n"/>
      <c r="M20" s="125" t="n"/>
      <c r="N20" s="125" t="n"/>
      <c r="O20" s="125" t="n"/>
      <c r="P20" s="125" t="n"/>
      <c r="Q20" s="125" t="n"/>
      <c r="R20" s="125" t="n"/>
      <c r="S20" s="125" t="n"/>
      <c r="T20" s="125" t="n"/>
      <c r="U20" s="125" t="n"/>
      <c r="V20" s="125" t="n"/>
      <c r="W20" s="125" t="n"/>
      <c r="X20" s="125" t="n"/>
      <c r="Y20" s="125" t="n"/>
      <c r="Z20" s="125" t="n"/>
      <c r="AA20" s="125" t="n"/>
      <c r="AB20" s="125" t="n"/>
      <c r="AC20" s="125" t="n"/>
      <c r="AD20" s="125" t="n"/>
      <c r="AE20" s="125" t="n"/>
      <c r="AF20" s="125" t="n"/>
    </row>
    <row r="21" ht="15" customHeight="1" s="99">
      <c r="A21" s="125" t="n"/>
      <c r="B21" s="125" t="n"/>
      <c r="C21" s="125" t="n"/>
      <c r="D21" s="125" t="n"/>
      <c r="E21" s="125" t="n"/>
      <c r="F21" s="125" t="n"/>
      <c r="G21" s="125" t="n"/>
      <c r="H21" s="125" t="n"/>
      <c r="I21" s="125" t="n"/>
      <c r="J21" s="125" t="n"/>
      <c r="K21" s="125" t="n"/>
      <c r="L21" s="125" t="n"/>
      <c r="M21" s="125" t="n"/>
      <c r="N21" s="125" t="n"/>
      <c r="O21" s="125" t="n"/>
      <c r="P21" s="125" t="n"/>
      <c r="Q21" s="125" t="n"/>
      <c r="R21" s="125" t="n"/>
      <c r="S21" s="125" t="n"/>
      <c r="T21" s="125" t="n"/>
      <c r="U21" s="125" t="n"/>
      <c r="V21" s="125" t="n"/>
      <c r="W21" s="125" t="n"/>
      <c r="X21" s="125" t="n"/>
      <c r="Y21" s="125" t="n"/>
      <c r="Z21" s="125" t="n"/>
      <c r="AA21" s="125" t="n"/>
      <c r="AB21" s="125" t="n"/>
      <c r="AC21" s="125" t="n"/>
      <c r="AD21" s="125" t="n"/>
      <c r="AE21" s="125" t="n"/>
      <c r="AF21" s="125" t="n"/>
    </row>
    <row r="22" ht="15" customHeight="1" s="99">
      <c r="A22" s="125" t="n"/>
      <c r="B22" s="125" t="n"/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5" t="n"/>
      <c r="L22" s="125" t="n"/>
      <c r="M22" s="125" t="n"/>
      <c r="N22" s="125" t="n"/>
      <c r="O22" s="125" t="n"/>
      <c r="P22" s="125" t="n"/>
      <c r="Q22" s="125" t="n"/>
      <c r="R22" s="125" t="n"/>
      <c r="S22" s="125" t="n"/>
      <c r="T22" s="125" t="n"/>
      <c r="U22" s="125" t="n"/>
      <c r="V22" s="125" t="n"/>
      <c r="W22" s="125" t="n"/>
      <c r="X22" s="125" t="n"/>
      <c r="Y22" s="125" t="n"/>
      <c r="Z22" s="125" t="n"/>
      <c r="AA22" s="125" t="n"/>
      <c r="AB22" s="125" t="n"/>
      <c r="AC22" s="125" t="n"/>
      <c r="AD22" s="125" t="n"/>
      <c r="AE22" s="125" t="n"/>
      <c r="AF22" s="125" t="n"/>
    </row>
    <row r="23" ht="15" customHeight="1" s="99">
      <c r="A23" s="125" t="n"/>
      <c r="B23" s="125" t="n"/>
      <c r="C23" s="125" t="n"/>
      <c r="D23" s="125" t="n"/>
      <c r="E23" s="125" t="n"/>
      <c r="F23" s="125" t="n"/>
      <c r="G23" s="125" t="n"/>
      <c r="H23" s="125" t="n"/>
      <c r="I23" s="125" t="n"/>
      <c r="J23" s="125" t="n"/>
      <c r="K23" s="125" t="n"/>
      <c r="L23" s="125" t="n"/>
      <c r="M23" s="125" t="n"/>
      <c r="N23" s="125" t="n"/>
      <c r="O23" s="125" t="n"/>
      <c r="P23" s="125" t="n"/>
      <c r="Q23" s="125" t="n"/>
      <c r="R23" s="125" t="n"/>
      <c r="S23" s="125" t="n"/>
      <c r="T23" s="125" t="n"/>
      <c r="U23" s="125" t="n"/>
      <c r="V23" s="125" t="n"/>
      <c r="W23" s="125" t="n"/>
      <c r="X23" s="125" t="n"/>
      <c r="Y23" s="125" t="n"/>
      <c r="Z23" s="125" t="n"/>
      <c r="AA23" s="125" t="n"/>
      <c r="AB23" s="125" t="n"/>
      <c r="AC23" s="125" t="n"/>
      <c r="AD23" s="125" t="n"/>
      <c r="AE23" s="125" t="n"/>
      <c r="AF23" s="125" t="n"/>
    </row>
    <row r="24" ht="15" customHeight="1" s="99">
      <c r="A24" s="125" t="n"/>
      <c r="B24" s="125" t="n"/>
      <c r="C24" s="125" t="n"/>
      <c r="D24" s="125" t="n"/>
      <c r="E24" s="125" t="n"/>
      <c r="F24" s="125" t="n"/>
      <c r="G24" s="125" t="n"/>
      <c r="H24" s="125" t="n"/>
      <c r="I24" s="125" t="n"/>
      <c r="J24" s="125" t="n"/>
      <c r="K24" s="125" t="n"/>
      <c r="L24" s="125" t="n"/>
      <c r="M24" s="125" t="n"/>
      <c r="N24" s="125" t="n"/>
      <c r="O24" s="125" t="n"/>
      <c r="P24" s="125" t="n"/>
      <c r="Q24" s="125" t="n"/>
      <c r="R24" s="125" t="n"/>
      <c r="S24" s="125" t="n"/>
      <c r="T24" s="125" t="n"/>
      <c r="U24" s="125" t="n"/>
      <c r="V24" s="125" t="n"/>
      <c r="W24" s="125" t="n"/>
      <c r="X24" s="125" t="n"/>
      <c r="Y24" s="125" t="n"/>
      <c r="Z24" s="125" t="n"/>
      <c r="AA24" s="125" t="n"/>
      <c r="AB24" s="125" t="n"/>
      <c r="AC24" s="125" t="n"/>
      <c r="AD24" s="125" t="n"/>
      <c r="AE24" s="125" t="n"/>
      <c r="AF24" s="125" t="n"/>
    </row>
    <row r="25" ht="15" customHeight="1" s="99">
      <c r="A25" s="125" t="n"/>
      <c r="B25" s="125" t="n"/>
      <c r="C25" s="125" t="n"/>
      <c r="D25" s="125" t="n"/>
      <c r="E25" s="125" t="n"/>
      <c r="F25" s="125" t="n"/>
      <c r="G25" s="125" t="n"/>
      <c r="H25" s="125" t="n"/>
      <c r="I25" s="125" t="n"/>
      <c r="J25" s="125" t="n"/>
      <c r="K25" s="125" t="n"/>
      <c r="L25" s="125" t="n"/>
      <c r="M25" s="125" t="n"/>
      <c r="N25" s="125" t="n"/>
      <c r="O25" s="125" t="n"/>
      <c r="P25" s="125" t="n"/>
      <c r="Q25" s="125" t="n"/>
      <c r="R25" s="125" t="n"/>
      <c r="S25" s="125" t="n"/>
      <c r="T25" s="125" t="n"/>
      <c r="U25" s="125" t="n"/>
      <c r="V25" s="125" t="n"/>
      <c r="W25" s="125" t="n"/>
      <c r="X25" s="125" t="n"/>
      <c r="Y25" s="125" t="n"/>
      <c r="Z25" s="125" t="n"/>
      <c r="AA25" s="125" t="n"/>
      <c r="AB25" s="125" t="n"/>
      <c r="AC25" s="125" t="n"/>
      <c r="AD25" s="125" t="n"/>
      <c r="AE25" s="125" t="n"/>
      <c r="AF25" s="125" t="n"/>
    </row>
    <row r="26" ht="15" customHeight="1" s="99">
      <c r="A26" s="125" t="n"/>
      <c r="B26" s="125" t="n"/>
      <c r="C26" s="125" t="n"/>
      <c r="D26" s="125" t="n"/>
      <c r="E26" s="125" t="n"/>
      <c r="F26" s="125" t="n"/>
      <c r="G26" s="125" t="n"/>
      <c r="H26" s="125" t="n"/>
      <c r="I26" s="125" t="n"/>
      <c r="J26" s="125" t="n"/>
      <c r="K26" s="125" t="n"/>
      <c r="L26" s="125" t="n"/>
      <c r="M26" s="125" t="n"/>
      <c r="N26" s="125" t="n"/>
      <c r="O26" s="125" t="n"/>
      <c r="P26" s="125" t="n"/>
      <c r="Q26" s="125" t="n"/>
      <c r="R26" s="125" t="n"/>
      <c r="S26" s="125" t="n"/>
      <c r="T26" s="125" t="n"/>
      <c r="U26" s="125" t="n"/>
      <c r="V26" s="125" t="n"/>
      <c r="W26" s="125" t="n"/>
      <c r="X26" s="125" t="n"/>
      <c r="Y26" s="125" t="n"/>
      <c r="Z26" s="125" t="n"/>
      <c r="AA26" s="125" t="n"/>
      <c r="AB26" s="125" t="n"/>
      <c r="AC26" s="125" t="n"/>
      <c r="AD26" s="125" t="n"/>
      <c r="AE26" s="125" t="n"/>
      <c r="AF26" s="125" t="n"/>
    </row>
    <row r="27" ht="15" customHeight="1" s="99">
      <c r="A27" s="125" t="n"/>
      <c r="B27" s="125" t="n"/>
      <c r="C27" s="125" t="n"/>
      <c r="D27" s="125" t="n"/>
      <c r="E27" s="125" t="n"/>
      <c r="F27" s="125" t="n"/>
      <c r="G27" s="125" t="n"/>
      <c r="H27" s="125" t="n"/>
      <c r="I27" s="125" t="n"/>
      <c r="J27" s="125" t="n"/>
      <c r="K27" s="125" t="n"/>
      <c r="L27" s="125" t="n"/>
      <c r="M27" s="125" t="n"/>
      <c r="N27" s="125" t="n"/>
      <c r="O27" s="125" t="n"/>
      <c r="P27" s="125" t="n"/>
      <c r="Q27" s="125" t="n"/>
      <c r="R27" s="125" t="n"/>
      <c r="S27" s="125" t="n"/>
      <c r="T27" s="125" t="n"/>
      <c r="U27" s="125" t="n"/>
      <c r="V27" s="125" t="n"/>
      <c r="W27" s="125" t="n"/>
      <c r="X27" s="125" t="n"/>
      <c r="Y27" s="125" t="n"/>
      <c r="Z27" s="125" t="n"/>
      <c r="AA27" s="125" t="n"/>
      <c r="AB27" s="125" t="n"/>
      <c r="AC27" s="125" t="n"/>
      <c r="AD27" s="125" t="n"/>
      <c r="AE27" s="125" t="n"/>
      <c r="AF27" s="125" t="n"/>
    </row>
    <row r="28" ht="15" customHeight="1" s="99">
      <c r="A28" s="125" t="n"/>
      <c r="B28" s="125" t="n"/>
      <c r="C28" s="125" t="n"/>
      <c r="D28" s="125" t="n"/>
      <c r="E28" s="125" t="n"/>
      <c r="F28" s="125" t="n"/>
      <c r="G28" s="125" t="n"/>
      <c r="H28" s="125" t="n"/>
      <c r="I28" s="125" t="n"/>
      <c r="J28" s="125" t="n"/>
      <c r="K28" s="125" t="n"/>
      <c r="L28" s="125" t="n"/>
      <c r="M28" s="125" t="n"/>
      <c r="N28" s="125" t="n"/>
      <c r="O28" s="125" t="n"/>
      <c r="P28" s="125" t="n"/>
      <c r="Q28" s="125" t="n"/>
      <c r="R28" s="125" t="n"/>
      <c r="S28" s="125" t="n"/>
      <c r="T28" s="125" t="n"/>
      <c r="U28" s="125" t="n"/>
      <c r="V28" s="125" t="n"/>
      <c r="W28" s="125" t="n"/>
      <c r="X28" s="125" t="n"/>
      <c r="Y28" s="125" t="n"/>
      <c r="Z28" s="125" t="n"/>
      <c r="AA28" s="125" t="n"/>
      <c r="AB28" s="125" t="n"/>
      <c r="AC28" s="125" t="n"/>
      <c r="AD28" s="125" t="n"/>
      <c r="AE28" s="125" t="n"/>
      <c r="AF28" s="125" t="n"/>
    </row>
    <row r="29" ht="15" customHeight="1" s="99">
      <c r="A29" s="125" t="n"/>
      <c r="B29" s="125" t="n"/>
      <c r="C29" s="125" t="n"/>
      <c r="D29" s="125" t="n"/>
      <c r="E29" s="125" t="n"/>
      <c r="F29" s="125" t="n"/>
      <c r="G29" s="125" t="n"/>
      <c r="H29" s="125" t="n"/>
      <c r="I29" s="125" t="n"/>
      <c r="J29" s="125" t="n"/>
      <c r="K29" s="125" t="n"/>
      <c r="L29" s="125" t="n"/>
      <c r="M29" s="125" t="n"/>
      <c r="N29" s="125" t="n"/>
      <c r="O29" s="125" t="n"/>
      <c r="P29" s="125" t="n"/>
      <c r="Q29" s="125" t="n"/>
      <c r="R29" s="125" t="n"/>
      <c r="S29" s="125" t="n"/>
      <c r="T29" s="125" t="n"/>
      <c r="U29" s="125" t="n"/>
      <c r="V29" s="125" t="n"/>
      <c r="W29" s="125" t="n"/>
      <c r="X29" s="125" t="n"/>
      <c r="Y29" s="125" t="n"/>
      <c r="Z29" s="125" t="n"/>
      <c r="AA29" s="125" t="n"/>
      <c r="AB29" s="125" t="n"/>
      <c r="AC29" s="125" t="n"/>
      <c r="AD29" s="125" t="n"/>
      <c r="AE29" s="125" t="n"/>
      <c r="AF29" s="125" t="n"/>
    </row>
    <row r="30" ht="15" customHeight="1" s="99">
      <c r="A30" s="125" t="n"/>
      <c r="B30" s="125" t="n"/>
      <c r="C30" s="125" t="n"/>
      <c r="D30" s="125" t="n"/>
      <c r="E30" s="125" t="n"/>
      <c r="F30" s="125" t="n"/>
      <c r="G30" s="125" t="n"/>
      <c r="H30" s="125" t="n"/>
      <c r="I30" s="125" t="n"/>
      <c r="J30" s="125" t="n"/>
      <c r="K30" s="125" t="n"/>
      <c r="L30" s="125" t="n"/>
      <c r="M30" s="125" t="n"/>
      <c r="N30" s="125" t="n"/>
      <c r="O30" s="125" t="n"/>
      <c r="P30" s="125" t="n"/>
      <c r="Q30" s="125" t="n"/>
      <c r="R30" s="125" t="n"/>
      <c r="S30" s="125" t="n"/>
      <c r="T30" s="125" t="n"/>
      <c r="U30" s="125" t="n"/>
      <c r="V30" s="125" t="n"/>
      <c r="W30" s="125" t="n"/>
      <c r="X30" s="125" t="n"/>
      <c r="Y30" s="125" t="n"/>
      <c r="Z30" s="125" t="n"/>
      <c r="AA30" s="125" t="n"/>
      <c r="AB30" s="125" t="n"/>
      <c r="AC30" s="125" t="n"/>
      <c r="AD30" s="125" t="n"/>
      <c r="AE30" s="125" t="n"/>
      <c r="AF30" s="125" t="n"/>
    </row>
    <row r="31" ht="15" customHeight="1" s="99">
      <c r="A31" s="125" t="n"/>
      <c r="B31" s="125" t="n"/>
      <c r="C31" s="125" t="n"/>
      <c r="D31" s="125" t="n"/>
      <c r="E31" s="125" t="n"/>
      <c r="F31" s="125" t="n"/>
      <c r="G31" s="125" t="n"/>
      <c r="H31" s="125" t="n"/>
      <c r="I31" s="125" t="n"/>
      <c r="J31" s="125" t="n"/>
      <c r="K31" s="125" t="n"/>
      <c r="L31" s="125" t="n"/>
      <c r="M31" s="125" t="n"/>
      <c r="N31" s="125" t="n"/>
      <c r="O31" s="125" t="n"/>
      <c r="P31" s="125" t="n"/>
      <c r="Q31" s="125" t="n"/>
      <c r="R31" s="125" t="n"/>
      <c r="S31" s="125" t="n"/>
      <c r="T31" s="125" t="n"/>
      <c r="U31" s="125" t="n"/>
      <c r="V31" s="125" t="n"/>
      <c r="W31" s="125" t="n"/>
      <c r="X31" s="125" t="n"/>
      <c r="Y31" s="125" t="n"/>
      <c r="Z31" s="125" t="n"/>
      <c r="AA31" s="125" t="n"/>
      <c r="AB31" s="125" t="n"/>
      <c r="AC31" s="125" t="n"/>
      <c r="AD31" s="125" t="n"/>
      <c r="AE31" s="125" t="n"/>
      <c r="AF31" s="125" t="n"/>
    </row>
    <row r="32" ht="15" customHeight="1" s="99">
      <c r="A32" s="125" t="n"/>
      <c r="B32" s="125" t="n"/>
      <c r="C32" s="125" t="n"/>
      <c r="D32" s="125" t="n"/>
      <c r="E32" s="125" t="n"/>
      <c r="F32" s="125" t="n"/>
      <c r="G32" s="125" t="n"/>
      <c r="H32" s="125" t="n"/>
      <c r="I32" s="125" t="n"/>
      <c r="J32" s="125" t="n"/>
      <c r="K32" s="125" t="n"/>
      <c r="L32" s="125" t="n"/>
      <c r="M32" s="125" t="n"/>
      <c r="N32" s="125" t="n"/>
      <c r="O32" s="125" t="n"/>
      <c r="P32" s="125" t="n"/>
      <c r="Q32" s="125" t="n"/>
      <c r="R32" s="125" t="n"/>
      <c r="S32" s="125" t="n"/>
      <c r="T32" s="125" t="n"/>
      <c r="U32" s="125" t="n"/>
      <c r="V32" s="125" t="n"/>
      <c r="W32" s="125" t="n"/>
      <c r="X32" s="125" t="n"/>
      <c r="Y32" s="125" t="n"/>
      <c r="Z32" s="125" t="n"/>
      <c r="AA32" s="125" t="n"/>
      <c r="AB32" s="125" t="n"/>
      <c r="AC32" s="125" t="n"/>
      <c r="AD32" s="125" t="n"/>
      <c r="AE32" s="125" t="n"/>
      <c r="AF32" s="125" t="n"/>
    </row>
    <row r="33" ht="15" customHeight="1" s="99">
      <c r="A33" s="125" t="n"/>
      <c r="B33" s="125" t="n"/>
      <c r="C33" s="125" t="n"/>
      <c r="D33" s="125" t="n"/>
      <c r="E33" s="125" t="n"/>
      <c r="F33" s="125" t="n"/>
      <c r="G33" s="125" t="n"/>
      <c r="H33" s="125" t="n"/>
      <c r="I33" s="125" t="n"/>
      <c r="J33" s="125" t="n"/>
      <c r="K33" s="125" t="n"/>
      <c r="L33" s="125" t="n"/>
      <c r="M33" s="125" t="n"/>
      <c r="N33" s="125" t="n"/>
      <c r="O33" s="125" t="n"/>
      <c r="P33" s="125" t="n"/>
      <c r="Q33" s="125" t="n"/>
      <c r="R33" s="125" t="n"/>
      <c r="S33" s="125" t="n"/>
      <c r="T33" s="125" t="n"/>
      <c r="U33" s="125" t="n"/>
      <c r="V33" s="125" t="n"/>
      <c r="W33" s="125" t="n"/>
      <c r="X33" s="125" t="n"/>
      <c r="Y33" s="125" t="n"/>
      <c r="Z33" s="125" t="n"/>
      <c r="AA33" s="125" t="n"/>
      <c r="AB33" s="125" t="n"/>
      <c r="AC33" s="125" t="n"/>
      <c r="AD33" s="125" t="n"/>
      <c r="AE33" s="125" t="n"/>
      <c r="AF33" s="125" t="n"/>
    </row>
    <row r="34" ht="15" customHeight="1" s="99">
      <c r="A34" s="125" t="n"/>
      <c r="B34" s="125" t="n"/>
      <c r="C34" s="125" t="n"/>
      <c r="D34" s="125" t="n"/>
      <c r="E34" s="125" t="n"/>
      <c r="F34" s="125" t="n"/>
      <c r="G34" s="125" t="n"/>
      <c r="H34" s="125" t="n"/>
      <c r="I34" s="125" t="n"/>
      <c r="J34" s="125" t="n"/>
      <c r="K34" s="125" t="n"/>
      <c r="L34" s="125" t="n"/>
      <c r="M34" s="125" t="n"/>
      <c r="N34" s="125" t="n"/>
      <c r="O34" s="125" t="n"/>
      <c r="P34" s="125" t="n"/>
      <c r="Q34" s="125" t="n"/>
      <c r="R34" s="125" t="n"/>
      <c r="S34" s="125" t="n"/>
      <c r="T34" s="125" t="n"/>
      <c r="U34" s="125" t="n"/>
      <c r="V34" s="125" t="n"/>
      <c r="W34" s="125" t="n"/>
      <c r="X34" s="125" t="n"/>
      <c r="Y34" s="125" t="n"/>
      <c r="Z34" s="125" t="n"/>
      <c r="AA34" s="125" t="n"/>
      <c r="AB34" s="125" t="n"/>
      <c r="AC34" s="125" t="n"/>
      <c r="AD34" s="125" t="n"/>
      <c r="AE34" s="125" t="n"/>
      <c r="AF34" s="125" t="n"/>
    </row>
    <row r="35" ht="15" customHeight="1" s="99">
      <c r="A35" s="125" t="n"/>
      <c r="B35" s="125" t="n"/>
      <c r="C35" s="125" t="n"/>
      <c r="D35" s="125" t="n"/>
      <c r="E35" s="125" t="n"/>
      <c r="F35" s="125" t="n"/>
      <c r="G35" s="125" t="n"/>
      <c r="H35" s="125" t="n"/>
      <c r="I35" s="125" t="n"/>
      <c r="J35" s="125" t="n"/>
      <c r="K35" s="125" t="n"/>
      <c r="L35" s="125" t="n"/>
      <c r="M35" s="125" t="n"/>
      <c r="N35" s="125" t="n"/>
      <c r="O35" s="125" t="n"/>
      <c r="P35" s="125" t="n"/>
      <c r="Q35" s="125" t="n"/>
      <c r="R35" s="125" t="n"/>
      <c r="S35" s="125" t="n"/>
      <c r="T35" s="125" t="n"/>
      <c r="U35" s="125" t="n"/>
      <c r="V35" s="125" t="n"/>
      <c r="W35" s="125" t="n"/>
      <c r="X35" s="125" t="n"/>
      <c r="Y35" s="125" t="n"/>
      <c r="Z35" s="125" t="n"/>
      <c r="AA35" s="125" t="n"/>
      <c r="AB35" s="125" t="n"/>
      <c r="AC35" s="125" t="n"/>
      <c r="AD35" s="125" t="n"/>
      <c r="AE35" s="125" t="n"/>
      <c r="AF35" s="125" t="n"/>
    </row>
    <row r="36" ht="15" customHeight="1" s="99">
      <c r="A36" s="125" t="n"/>
      <c r="B36" s="125" t="n"/>
      <c r="C36" s="125" t="n"/>
      <c r="D36" s="125" t="n"/>
      <c r="E36" s="125" t="n"/>
      <c r="F36" s="125" t="n"/>
      <c r="G36" s="125" t="n"/>
      <c r="H36" s="125" t="n"/>
      <c r="I36" s="125" t="n"/>
      <c r="J36" s="125" t="n"/>
      <c r="K36" s="125" t="n"/>
      <c r="L36" s="125" t="n"/>
      <c r="M36" s="125" t="n"/>
      <c r="N36" s="125" t="n"/>
      <c r="O36" s="125" t="n"/>
      <c r="P36" s="125" t="n"/>
      <c r="Q36" s="125" t="n"/>
      <c r="R36" s="125" t="n"/>
      <c r="S36" s="125" t="n"/>
      <c r="T36" s="125" t="n"/>
      <c r="U36" s="125" t="n"/>
      <c r="V36" s="125" t="n"/>
      <c r="W36" s="125" t="n"/>
      <c r="X36" s="125" t="n"/>
      <c r="Y36" s="125" t="n"/>
      <c r="Z36" s="125" t="n"/>
      <c r="AA36" s="125" t="n"/>
      <c r="AB36" s="125" t="n"/>
      <c r="AC36" s="125" t="n"/>
      <c r="AD36" s="125" t="n"/>
      <c r="AE36" s="125" t="n"/>
      <c r="AF36" s="125" t="n"/>
    </row>
    <row r="37" ht="15" customHeight="1" s="99">
      <c r="A37" s="125" t="n"/>
      <c r="B37" s="125" t="n"/>
      <c r="C37" s="125" t="n"/>
      <c r="D37" s="125" t="n"/>
      <c r="E37" s="125" t="n"/>
      <c r="F37" s="125" t="n"/>
      <c r="G37" s="125" t="n"/>
      <c r="H37" s="125" t="n"/>
      <c r="I37" s="125" t="n"/>
      <c r="J37" s="125" t="n"/>
      <c r="K37" s="125" t="n"/>
      <c r="L37" s="125" t="n"/>
      <c r="M37" s="125" t="n"/>
      <c r="N37" s="125" t="n"/>
      <c r="O37" s="125" t="n"/>
      <c r="P37" s="125" t="n"/>
      <c r="Q37" s="125" t="n"/>
      <c r="R37" s="125" t="n"/>
      <c r="S37" s="125" t="n"/>
      <c r="T37" s="125" t="n"/>
      <c r="U37" s="125" t="n"/>
      <c r="V37" s="125" t="n"/>
      <c r="W37" s="125" t="n"/>
      <c r="X37" s="125" t="n"/>
      <c r="Y37" s="125" t="n"/>
      <c r="Z37" s="125" t="n"/>
      <c r="AA37" s="125" t="n"/>
      <c r="AB37" s="125" t="n"/>
      <c r="AC37" s="125" t="n"/>
      <c r="AD37" s="125" t="n"/>
      <c r="AE37" s="125" t="n"/>
      <c r="AF37" s="125" t="n"/>
    </row>
    <row r="38" ht="15" customHeight="1" s="99">
      <c r="A38" s="125" t="n"/>
      <c r="B38" s="125" t="n"/>
      <c r="C38" s="125" t="n"/>
      <c r="D38" s="125" t="n"/>
      <c r="E38" s="125" t="n"/>
      <c r="F38" s="125" t="n"/>
      <c r="G38" s="125" t="n"/>
      <c r="H38" s="125" t="n"/>
      <c r="I38" s="125" t="n"/>
      <c r="J38" s="125" t="n"/>
      <c r="K38" s="125" t="n"/>
      <c r="L38" s="125" t="n"/>
      <c r="M38" s="125" t="n"/>
      <c r="N38" s="125" t="n"/>
      <c r="O38" s="125" t="n"/>
      <c r="P38" s="125" t="n"/>
      <c r="Q38" s="125" t="n"/>
      <c r="R38" s="125" t="n"/>
      <c r="S38" s="125" t="n"/>
      <c r="T38" s="125" t="n"/>
      <c r="U38" s="125" t="n"/>
      <c r="V38" s="125" t="n"/>
      <c r="W38" s="125" t="n"/>
      <c r="X38" s="125" t="n"/>
      <c r="Y38" s="125" t="n"/>
      <c r="Z38" s="125" t="n"/>
      <c r="AA38" s="125" t="n"/>
      <c r="AB38" s="125" t="n"/>
      <c r="AC38" s="125" t="n"/>
      <c r="AD38" s="125" t="n"/>
      <c r="AE38" s="125" t="n"/>
      <c r="AF38" s="125" t="n"/>
    </row>
    <row r="39" ht="15" customHeight="1" s="99">
      <c r="A39" s="125" t="n"/>
      <c r="B39" s="125" t="n"/>
      <c r="C39" s="125" t="n"/>
      <c r="D39" s="125" t="n"/>
      <c r="E39" s="125" t="n"/>
      <c r="F39" s="125" t="n"/>
      <c r="G39" s="125" t="n"/>
      <c r="H39" s="125" t="n"/>
      <c r="I39" s="125" t="n"/>
      <c r="J39" s="125" t="n"/>
      <c r="K39" s="125" t="n"/>
      <c r="L39" s="125" t="n"/>
      <c r="M39" s="125" t="n"/>
      <c r="N39" s="125" t="n"/>
      <c r="O39" s="125" t="n"/>
      <c r="P39" s="125" t="n"/>
      <c r="Q39" s="125" t="n"/>
      <c r="R39" s="125" t="n"/>
      <c r="S39" s="125" t="n"/>
      <c r="T39" s="125" t="n"/>
      <c r="U39" s="125" t="n"/>
      <c r="V39" s="125" t="n"/>
      <c r="W39" s="125" t="n"/>
      <c r="X39" s="125" t="n"/>
      <c r="Y39" s="125" t="n"/>
      <c r="Z39" s="125" t="n"/>
      <c r="AA39" s="125" t="n"/>
      <c r="AB39" s="125" t="n"/>
      <c r="AC39" s="125" t="n"/>
      <c r="AD39" s="125" t="n"/>
      <c r="AE39" s="125" t="n"/>
      <c r="AF39" s="125" t="n"/>
    </row>
    <row r="40" ht="15" customHeight="1" s="99">
      <c r="A40" s="125" t="n"/>
      <c r="B40" s="125" t="n"/>
      <c r="C40" s="125" t="n"/>
      <c r="D40" s="125" t="n"/>
      <c r="E40" s="125" t="n"/>
      <c r="F40" s="125" t="n"/>
      <c r="G40" s="125" t="n"/>
      <c r="H40" s="125" t="n"/>
      <c r="I40" s="125" t="n"/>
      <c r="J40" s="125" t="n"/>
      <c r="K40" s="125" t="n"/>
      <c r="L40" s="125" t="n"/>
      <c r="M40" s="125" t="n"/>
      <c r="N40" s="125" t="n"/>
      <c r="O40" s="125" t="n"/>
      <c r="P40" s="125" t="n"/>
      <c r="Q40" s="125" t="n"/>
      <c r="R40" s="125" t="n"/>
      <c r="S40" s="125" t="n"/>
      <c r="T40" s="125" t="n"/>
      <c r="U40" s="125" t="n"/>
      <c r="V40" s="125" t="n"/>
      <c r="W40" s="125" t="n"/>
      <c r="X40" s="125" t="n"/>
      <c r="Y40" s="125" t="n"/>
      <c r="Z40" s="125" t="n"/>
      <c r="AA40" s="125" t="n"/>
      <c r="AB40" s="125" t="n"/>
      <c r="AC40" s="125" t="n"/>
      <c r="AD40" s="125" t="n"/>
      <c r="AE40" s="125" t="n"/>
      <c r="AF40" s="125" t="n"/>
    </row>
    <row r="41" ht="15" customHeight="1" s="99">
      <c r="A41" s="125" t="n"/>
      <c r="B41" s="125" t="n"/>
      <c r="C41" s="125" t="n"/>
      <c r="D41" s="125" t="n"/>
      <c r="E41" s="125" t="n"/>
      <c r="F41" s="125" t="n"/>
      <c r="G41" s="125" t="n"/>
      <c r="H41" s="125" t="n"/>
      <c r="I41" s="125" t="n"/>
      <c r="J41" s="125" t="n"/>
      <c r="K41" s="125" t="n"/>
      <c r="L41" s="125" t="n"/>
      <c r="M41" s="125" t="n"/>
      <c r="N41" s="125" t="n"/>
      <c r="O41" s="125" t="n"/>
      <c r="P41" s="125" t="n"/>
      <c r="Q41" s="125" t="n"/>
      <c r="R41" s="125" t="n"/>
      <c r="S41" s="125" t="n"/>
      <c r="T41" s="125" t="n"/>
      <c r="U41" s="125" t="n"/>
      <c r="V41" s="125" t="n"/>
      <c r="W41" s="125" t="n"/>
      <c r="X41" s="125" t="n"/>
      <c r="Y41" s="125" t="n"/>
      <c r="Z41" s="125" t="n"/>
      <c r="AA41" s="125" t="n"/>
      <c r="AB41" s="125" t="n"/>
      <c r="AC41" s="125" t="n"/>
      <c r="AD41" s="125" t="n"/>
      <c r="AE41" s="125" t="n"/>
      <c r="AF41" s="125" t="n"/>
    </row>
    <row r="42" ht="15" customHeight="1" s="99">
      <c r="A42" s="125" t="n"/>
      <c r="B42" s="125" t="n"/>
      <c r="C42" s="125" t="n"/>
      <c r="D42" s="125" t="n"/>
      <c r="E42" s="125" t="n"/>
      <c r="F42" s="125" t="n"/>
      <c r="G42" s="125" t="n"/>
      <c r="H42" s="125" t="n"/>
      <c r="I42" s="125" t="n"/>
      <c r="J42" s="125" t="n"/>
      <c r="K42" s="125" t="n"/>
      <c r="L42" s="125" t="n"/>
      <c r="M42" s="125" t="n"/>
      <c r="N42" s="125" t="n"/>
      <c r="O42" s="125" t="n"/>
      <c r="P42" s="125" t="n"/>
      <c r="Q42" s="125" t="n"/>
      <c r="R42" s="125" t="n"/>
      <c r="S42" s="125" t="n"/>
      <c r="T42" s="125" t="n"/>
      <c r="U42" s="125" t="n"/>
      <c r="V42" s="125" t="n"/>
      <c r="W42" s="125" t="n"/>
      <c r="X42" s="125" t="n"/>
      <c r="Y42" s="125" t="n"/>
      <c r="Z42" s="125" t="n"/>
      <c r="AA42" s="125" t="n"/>
      <c r="AB42" s="125" t="n"/>
      <c r="AC42" s="125" t="n"/>
      <c r="AD42" s="125" t="n"/>
      <c r="AE42" s="125" t="n"/>
      <c r="AF42" s="125" t="n"/>
    </row>
    <row r="43" ht="15" customHeight="1" s="99">
      <c r="A43" s="125" t="n"/>
      <c r="B43" s="125" t="n"/>
      <c r="C43" s="125" t="n"/>
      <c r="D43" s="125" t="n"/>
      <c r="E43" s="125" t="n"/>
      <c r="F43" s="125" t="n"/>
      <c r="G43" s="125" t="n"/>
      <c r="H43" s="125" t="n"/>
      <c r="I43" s="125" t="n"/>
      <c r="J43" s="125" t="n"/>
      <c r="K43" s="125" t="n"/>
      <c r="L43" s="125" t="n"/>
      <c r="M43" s="125" t="n"/>
      <c r="N43" s="125" t="n"/>
      <c r="O43" s="125" t="n"/>
      <c r="P43" s="125" t="n"/>
      <c r="Q43" s="125" t="n"/>
      <c r="R43" s="125" t="n"/>
      <c r="S43" s="125" t="n"/>
      <c r="T43" s="125" t="n"/>
      <c r="U43" s="125" t="n"/>
      <c r="V43" s="125" t="n"/>
      <c r="W43" s="125" t="n"/>
      <c r="X43" s="125" t="n"/>
      <c r="Y43" s="125" t="n"/>
      <c r="Z43" s="125" t="n"/>
      <c r="AA43" s="125" t="n"/>
      <c r="AB43" s="125" t="n"/>
      <c r="AC43" s="125" t="n"/>
      <c r="AD43" s="125" t="n"/>
      <c r="AE43" s="125" t="n"/>
      <c r="AF43" s="125" t="n"/>
    </row>
    <row r="44" ht="15" customHeight="1" s="99">
      <c r="A44" s="125" t="n"/>
      <c r="B44" s="125" t="n"/>
      <c r="C44" s="125" t="n"/>
      <c r="D44" s="125" t="n"/>
      <c r="E44" s="125" t="n"/>
      <c r="F44" s="125" t="n"/>
      <c r="G44" s="125" t="n"/>
      <c r="H44" s="125" t="n"/>
      <c r="I44" s="125" t="n"/>
      <c r="J44" s="125" t="n"/>
      <c r="K44" s="125" t="n"/>
      <c r="L44" s="125" t="n"/>
      <c r="M44" s="125" t="n"/>
      <c r="N44" s="125" t="n"/>
      <c r="O44" s="125" t="n"/>
      <c r="P44" s="125" t="n"/>
      <c r="Q44" s="125" t="n"/>
      <c r="R44" s="125" t="n"/>
      <c r="S44" s="125" t="n"/>
      <c r="T44" s="125" t="n"/>
      <c r="U44" s="125" t="n"/>
      <c r="V44" s="125" t="n"/>
      <c r="W44" s="125" t="n"/>
      <c r="X44" s="125" t="n"/>
      <c r="Y44" s="125" t="n"/>
      <c r="Z44" s="125" t="n"/>
      <c r="AA44" s="125" t="n"/>
      <c r="AB44" s="125" t="n"/>
      <c r="AC44" s="125" t="n"/>
      <c r="AD44" s="125" t="n"/>
      <c r="AE44" s="125" t="n"/>
      <c r="AF44" s="125" t="n"/>
    </row>
    <row r="45" ht="15" customHeight="1" s="99">
      <c r="A45" s="125" t="n"/>
      <c r="B45" s="125" t="n"/>
      <c r="C45" s="125" t="n"/>
      <c r="D45" s="125" t="n"/>
      <c r="E45" s="125" t="n"/>
      <c r="F45" s="125" t="n"/>
      <c r="G45" s="125" t="n"/>
      <c r="H45" s="125" t="n"/>
      <c r="I45" s="125" t="n"/>
      <c r="J45" s="125" t="n"/>
      <c r="K45" s="125" t="n"/>
      <c r="L45" s="125" t="n"/>
      <c r="M45" s="125" t="n"/>
      <c r="N45" s="125" t="n"/>
      <c r="O45" s="125" t="n"/>
      <c r="P45" s="125" t="n"/>
      <c r="Q45" s="125" t="n"/>
      <c r="R45" s="125" t="n"/>
      <c r="S45" s="125" t="n"/>
      <c r="T45" s="125" t="n"/>
      <c r="U45" s="125" t="n"/>
      <c r="V45" s="125" t="n"/>
      <c r="W45" s="125" t="n"/>
      <c r="X45" s="125" t="n"/>
      <c r="Y45" s="125" t="n"/>
      <c r="Z45" s="125" t="n"/>
      <c r="AA45" s="125" t="n"/>
      <c r="AB45" s="125" t="n"/>
      <c r="AC45" s="125" t="n"/>
      <c r="AD45" s="125" t="n"/>
      <c r="AE45" s="125" t="n"/>
      <c r="AF45" s="125" t="n"/>
    </row>
    <row r="46" ht="15" customHeight="1" s="99">
      <c r="A46" s="125" t="n"/>
      <c r="B46" s="125" t="n"/>
      <c r="C46" s="125" t="n"/>
      <c r="D46" s="125" t="n"/>
      <c r="E46" s="125" t="n"/>
      <c r="F46" s="125" t="n"/>
      <c r="G46" s="125" t="n"/>
      <c r="H46" s="125" t="n"/>
      <c r="I46" s="125" t="n"/>
      <c r="J46" s="125" t="n"/>
      <c r="K46" s="125" t="n"/>
      <c r="L46" s="125" t="n"/>
      <c r="M46" s="125" t="n"/>
      <c r="N46" s="125" t="n"/>
      <c r="O46" s="125" t="n"/>
      <c r="P46" s="125" t="n"/>
      <c r="Q46" s="125" t="n"/>
      <c r="R46" s="125" t="n"/>
      <c r="S46" s="125" t="n"/>
      <c r="T46" s="125" t="n"/>
      <c r="U46" s="125" t="n"/>
      <c r="V46" s="125" t="n"/>
      <c r="W46" s="125" t="n"/>
      <c r="X46" s="125" t="n"/>
      <c r="Y46" s="125" t="n"/>
      <c r="Z46" s="125" t="n"/>
      <c r="AA46" s="125" t="n"/>
      <c r="AB46" s="125" t="n"/>
      <c r="AC46" s="125" t="n"/>
      <c r="AD46" s="125" t="n"/>
      <c r="AE46" s="125" t="n"/>
      <c r="AF46" s="125" t="n"/>
    </row>
    <row r="47" ht="15" customHeight="1" s="99">
      <c r="A47" s="125" t="n"/>
      <c r="B47" s="125" t="n"/>
      <c r="C47" s="125" t="n"/>
      <c r="D47" s="125" t="n"/>
      <c r="E47" s="125" t="n"/>
      <c r="F47" s="125" t="n"/>
      <c r="G47" s="125" t="n"/>
      <c r="H47" s="125" t="n"/>
      <c r="I47" s="125" t="n"/>
      <c r="J47" s="125" t="n"/>
      <c r="K47" s="125" t="n"/>
      <c r="L47" s="125" t="n"/>
      <c r="M47" s="125" t="n"/>
      <c r="N47" s="125" t="n"/>
      <c r="O47" s="125" t="n"/>
      <c r="P47" s="125" t="n"/>
      <c r="Q47" s="125" t="n"/>
      <c r="R47" s="125" t="n"/>
      <c r="S47" s="125" t="n"/>
      <c r="T47" s="125" t="n"/>
      <c r="U47" s="125" t="n"/>
      <c r="V47" s="125" t="n"/>
      <c r="W47" s="125" t="n"/>
      <c r="X47" s="125" t="n"/>
      <c r="Y47" s="125" t="n"/>
      <c r="Z47" s="125" t="n"/>
      <c r="AA47" s="125" t="n"/>
      <c r="AB47" s="125" t="n"/>
      <c r="AC47" s="125" t="n"/>
      <c r="AD47" s="125" t="n"/>
      <c r="AE47" s="125" t="n"/>
      <c r="AF47" s="125" t="n"/>
    </row>
    <row r="48" ht="15" customHeight="1" s="99">
      <c r="A48" s="125" t="n"/>
      <c r="B48" s="125" t="n"/>
      <c r="C48" s="125" t="n"/>
      <c r="D48" s="125" t="n"/>
      <c r="E48" s="125" t="n"/>
      <c r="F48" s="125" t="n"/>
      <c r="G48" s="125" t="n"/>
      <c r="H48" s="125" t="n"/>
      <c r="I48" s="125" t="n"/>
      <c r="J48" s="125" t="n"/>
      <c r="K48" s="125" t="n"/>
      <c r="L48" s="125" t="n"/>
      <c r="M48" s="125" t="n"/>
      <c r="N48" s="125" t="n"/>
      <c r="O48" s="125" t="n"/>
      <c r="P48" s="125" t="n"/>
      <c r="Q48" s="125" t="n"/>
      <c r="R48" s="125" t="n"/>
      <c r="S48" s="125" t="n"/>
      <c r="T48" s="125" t="n"/>
      <c r="U48" s="125" t="n"/>
      <c r="V48" s="125" t="n"/>
      <c r="W48" s="125" t="n"/>
      <c r="X48" s="125" t="n"/>
      <c r="Y48" s="125" t="n"/>
      <c r="Z48" s="125" t="n"/>
      <c r="AA48" s="125" t="n"/>
      <c r="AB48" s="125" t="n"/>
      <c r="AC48" s="125" t="n"/>
      <c r="AD48" s="125" t="n"/>
      <c r="AE48" s="125" t="n"/>
      <c r="AF48" s="125" t="n"/>
    </row>
    <row r="49" ht="15" customHeight="1" s="99">
      <c r="A49" s="125" t="n"/>
      <c r="B49" s="125" t="n"/>
      <c r="C49" s="125" t="n"/>
      <c r="D49" s="125" t="n"/>
      <c r="E49" s="125" t="n"/>
      <c r="F49" s="125" t="n"/>
      <c r="G49" s="125" t="n"/>
      <c r="H49" s="125" t="n"/>
      <c r="I49" s="125" t="n"/>
      <c r="J49" s="125" t="n"/>
      <c r="K49" s="125" t="n"/>
      <c r="L49" s="125" t="n"/>
      <c r="M49" s="125" t="n"/>
      <c r="N49" s="125" t="n"/>
      <c r="O49" s="125" t="n"/>
      <c r="P49" s="125" t="n"/>
      <c r="Q49" s="125" t="n"/>
      <c r="R49" s="125" t="n"/>
      <c r="S49" s="125" t="n"/>
      <c r="T49" s="125" t="n"/>
      <c r="U49" s="125" t="n"/>
      <c r="V49" s="125" t="n"/>
      <c r="W49" s="125" t="n"/>
      <c r="X49" s="125" t="n"/>
      <c r="Y49" s="125" t="n"/>
      <c r="Z49" s="125" t="n"/>
      <c r="AA49" s="125" t="n"/>
      <c r="AB49" s="125" t="n"/>
      <c r="AC49" s="125" t="n"/>
      <c r="AD49" s="125" t="n"/>
      <c r="AE49" s="125" t="n"/>
      <c r="AF49" s="125" t="n"/>
    </row>
    <row r="50" ht="15" customHeight="1" s="99">
      <c r="A50" s="125" t="n"/>
      <c r="B50" s="125" t="n"/>
      <c r="C50" s="125" t="n"/>
      <c r="D50" s="125" t="n"/>
      <c r="E50" s="125" t="n"/>
      <c r="F50" s="125" t="n"/>
      <c r="G50" s="125" t="n"/>
      <c r="H50" s="125" t="n"/>
      <c r="I50" s="125" t="n"/>
      <c r="J50" s="125" t="n"/>
      <c r="K50" s="125" t="n"/>
      <c r="L50" s="125" t="n"/>
      <c r="M50" s="125" t="n"/>
      <c r="N50" s="125" t="n"/>
      <c r="O50" s="125" t="n"/>
      <c r="P50" s="125" t="n"/>
      <c r="Q50" s="125" t="n"/>
      <c r="R50" s="125" t="n"/>
      <c r="S50" s="125" t="n"/>
      <c r="T50" s="125" t="n"/>
      <c r="U50" s="125" t="n"/>
      <c r="V50" s="125" t="n"/>
      <c r="W50" s="125" t="n"/>
      <c r="X50" s="125" t="n"/>
      <c r="Y50" s="125" t="n"/>
      <c r="Z50" s="125" t="n"/>
      <c r="AA50" s="125" t="n"/>
      <c r="AB50" s="125" t="n"/>
      <c r="AC50" s="125" t="n"/>
      <c r="AD50" s="125" t="n"/>
      <c r="AE50" s="125" t="n"/>
      <c r="AF50" s="125" t="n"/>
    </row>
    <row r="51" ht="15" customHeight="1" s="99">
      <c r="A51" s="125" t="n"/>
      <c r="B51" s="125" t="n"/>
      <c r="C51" s="125" t="n"/>
      <c r="D51" s="125" t="n"/>
      <c r="E51" s="125" t="n"/>
      <c r="F51" s="125" t="n"/>
      <c r="G51" s="125" t="n"/>
      <c r="H51" s="125" t="n"/>
      <c r="I51" s="125" t="n"/>
      <c r="J51" s="125" t="n"/>
      <c r="K51" s="125" t="n"/>
      <c r="L51" s="125" t="n"/>
      <c r="M51" s="125" t="n"/>
      <c r="N51" s="125" t="n"/>
      <c r="O51" s="125" t="n"/>
      <c r="P51" s="125" t="n"/>
      <c r="Q51" s="125" t="n"/>
      <c r="R51" s="125" t="n"/>
      <c r="S51" s="125" t="n"/>
      <c r="T51" s="125" t="n"/>
      <c r="U51" s="125" t="n"/>
      <c r="V51" s="125" t="n"/>
      <c r="W51" s="125" t="n"/>
      <c r="X51" s="125" t="n"/>
      <c r="Y51" s="125" t="n"/>
      <c r="Z51" s="125" t="n"/>
      <c r="AA51" s="125" t="n"/>
      <c r="AB51" s="125" t="n"/>
      <c r="AC51" s="125" t="n"/>
      <c r="AD51" s="125" t="n"/>
      <c r="AE51" s="125" t="n"/>
      <c r="AF51" s="125" t="n"/>
    </row>
    <row r="52" ht="15" customHeight="1" s="99">
      <c r="A52" s="125" t="n"/>
      <c r="B52" s="125" t="n"/>
      <c r="C52" s="125" t="n"/>
      <c r="D52" s="125" t="n"/>
      <c r="E52" s="125" t="n"/>
      <c r="F52" s="125" t="n"/>
      <c r="G52" s="125" t="n"/>
      <c r="H52" s="125" t="n"/>
      <c r="I52" s="125" t="n"/>
      <c r="J52" s="125" t="n"/>
      <c r="K52" s="125" t="n"/>
      <c r="L52" s="125" t="n"/>
      <c r="M52" s="125" t="n"/>
      <c r="N52" s="125" t="n"/>
      <c r="O52" s="125" t="n"/>
      <c r="P52" s="125" t="n"/>
      <c r="Q52" s="125" t="n"/>
      <c r="R52" s="125" t="n"/>
      <c r="S52" s="125" t="n"/>
      <c r="T52" s="125" t="n"/>
      <c r="U52" s="125" t="n"/>
      <c r="V52" s="125" t="n"/>
      <c r="W52" s="125" t="n"/>
      <c r="X52" s="125" t="n"/>
      <c r="Y52" s="125" t="n"/>
      <c r="Z52" s="125" t="n"/>
      <c r="AA52" s="125" t="n"/>
      <c r="AB52" s="125" t="n"/>
      <c r="AC52" s="125" t="n"/>
      <c r="AD52" s="125" t="n"/>
      <c r="AE52" s="125" t="n"/>
      <c r="AF52" s="125" t="n"/>
    </row>
    <row r="53" ht="15" customHeight="1" s="99">
      <c r="A53" s="125" t="n"/>
      <c r="B53" s="125" t="n"/>
      <c r="C53" s="125" t="n"/>
      <c r="D53" s="125" t="n"/>
      <c r="E53" s="125" t="n"/>
      <c r="F53" s="125" t="n"/>
      <c r="G53" s="125" t="n"/>
      <c r="H53" s="125" t="n"/>
      <c r="I53" s="125" t="n"/>
      <c r="J53" s="125" t="n"/>
      <c r="K53" s="125" t="n"/>
      <c r="L53" s="125" t="n"/>
      <c r="M53" s="125" t="n"/>
      <c r="N53" s="125" t="n"/>
      <c r="O53" s="125" t="n"/>
      <c r="P53" s="125" t="n"/>
      <c r="Q53" s="125" t="n"/>
      <c r="R53" s="125" t="n"/>
      <c r="S53" s="125" t="n"/>
      <c r="T53" s="125" t="n"/>
      <c r="U53" s="125" t="n"/>
      <c r="V53" s="125" t="n"/>
      <c r="W53" s="125" t="n"/>
      <c r="X53" s="125" t="n"/>
      <c r="Y53" s="125" t="n"/>
      <c r="Z53" s="125" t="n"/>
      <c r="AA53" s="125" t="n"/>
      <c r="AB53" s="125" t="n"/>
      <c r="AC53" s="125" t="n"/>
      <c r="AD53" s="125" t="n"/>
      <c r="AE53" s="125" t="n"/>
      <c r="AF53" s="125" t="n"/>
    </row>
    <row r="54" ht="15" customHeight="1" s="99">
      <c r="A54" s="125" t="n"/>
      <c r="B54" s="125" t="n"/>
      <c r="C54" s="125" t="n"/>
      <c r="D54" s="125" t="n"/>
      <c r="E54" s="125" t="n"/>
      <c r="F54" s="125" t="n"/>
      <c r="G54" s="125" t="n"/>
      <c r="H54" s="125" t="n"/>
      <c r="I54" s="125" t="n"/>
      <c r="J54" s="125" t="n"/>
      <c r="K54" s="125" t="n"/>
      <c r="L54" s="125" t="n"/>
      <c r="M54" s="125" t="n"/>
      <c r="N54" s="125" t="n"/>
      <c r="O54" s="125" t="n"/>
      <c r="P54" s="125" t="n"/>
      <c r="Q54" s="125" t="n"/>
      <c r="R54" s="125" t="n"/>
      <c r="S54" s="125" t="n"/>
      <c r="T54" s="125" t="n"/>
      <c r="U54" s="125" t="n"/>
      <c r="V54" s="125" t="n"/>
      <c r="W54" s="125" t="n"/>
      <c r="X54" s="125" t="n"/>
      <c r="Y54" s="125" t="n"/>
      <c r="Z54" s="125" t="n"/>
      <c r="AA54" s="125" t="n"/>
      <c r="AB54" s="125" t="n"/>
      <c r="AC54" s="125" t="n"/>
      <c r="AD54" s="125" t="n"/>
      <c r="AE54" s="125" t="n"/>
      <c r="AF54" s="125" t="n"/>
    </row>
    <row r="55" ht="15" customHeight="1" s="99">
      <c r="A55" s="125" t="n"/>
      <c r="B55" s="125" t="n"/>
      <c r="C55" s="125" t="n"/>
      <c r="D55" s="125" t="n"/>
      <c r="E55" s="125" t="n"/>
      <c r="F55" s="125" t="n"/>
      <c r="G55" s="125" t="n"/>
      <c r="H55" s="125" t="n"/>
      <c r="I55" s="125" t="n"/>
      <c r="J55" s="125" t="n"/>
      <c r="K55" s="125" t="n"/>
      <c r="L55" s="125" t="n"/>
      <c r="M55" s="125" t="n"/>
      <c r="N55" s="125" t="n"/>
      <c r="O55" s="125" t="n"/>
      <c r="P55" s="125" t="n"/>
      <c r="Q55" s="125" t="n"/>
      <c r="R55" s="125" t="n"/>
      <c r="S55" s="125" t="n"/>
      <c r="T55" s="125" t="n"/>
      <c r="U55" s="125" t="n"/>
      <c r="V55" s="125" t="n"/>
      <c r="W55" s="125" t="n"/>
      <c r="X55" s="125" t="n"/>
      <c r="Y55" s="125" t="n"/>
      <c r="Z55" s="125" t="n"/>
      <c r="AA55" s="125" t="n"/>
      <c r="AB55" s="125" t="n"/>
      <c r="AC55" s="125" t="n"/>
      <c r="AD55" s="125" t="n"/>
      <c r="AE55" s="125" t="n"/>
      <c r="AF55" s="125" t="n"/>
    </row>
    <row r="56" ht="15" customHeight="1" s="99">
      <c r="A56" s="125" t="n"/>
      <c r="B56" s="125" t="n"/>
      <c r="C56" s="125" t="n"/>
      <c r="D56" s="125" t="n"/>
      <c r="E56" s="125" t="n"/>
      <c r="F56" s="125" t="n"/>
      <c r="G56" s="125" t="n"/>
      <c r="H56" s="125" t="n"/>
      <c r="I56" s="125" t="n"/>
      <c r="J56" s="125" t="n"/>
      <c r="K56" s="125" t="n"/>
      <c r="L56" s="125" t="n"/>
      <c r="M56" s="125" t="n"/>
      <c r="N56" s="125" t="n"/>
      <c r="O56" s="125" t="n"/>
      <c r="P56" s="125" t="n"/>
      <c r="Q56" s="125" t="n"/>
      <c r="R56" s="125" t="n"/>
      <c r="S56" s="125" t="n"/>
      <c r="T56" s="125" t="n"/>
      <c r="U56" s="125" t="n"/>
      <c r="V56" s="125" t="n"/>
      <c r="W56" s="125" t="n"/>
      <c r="X56" s="125" t="n"/>
      <c r="Y56" s="125" t="n"/>
      <c r="Z56" s="125" t="n"/>
      <c r="AA56" s="125" t="n"/>
      <c r="AB56" s="125" t="n"/>
      <c r="AC56" s="125" t="n"/>
      <c r="AD56" s="125" t="n"/>
      <c r="AE56" s="125" t="n"/>
      <c r="AF56" s="125" t="n"/>
    </row>
    <row r="57" ht="15" customHeight="1" s="99">
      <c r="A57" s="125" t="n"/>
      <c r="B57" s="125" t="n"/>
      <c r="C57" s="125" t="n"/>
      <c r="D57" s="125" t="n"/>
      <c r="E57" s="125" t="n"/>
      <c r="F57" s="125" t="n"/>
      <c r="G57" s="125" t="n"/>
      <c r="H57" s="125" t="n"/>
      <c r="I57" s="125" t="n"/>
      <c r="J57" s="125" t="n"/>
      <c r="K57" s="125" t="n"/>
      <c r="L57" s="125" t="n"/>
      <c r="M57" s="125" t="n"/>
      <c r="N57" s="125" t="n"/>
      <c r="O57" s="125" t="n"/>
      <c r="P57" s="125" t="n"/>
      <c r="Q57" s="125" t="n"/>
      <c r="R57" s="125" t="n"/>
      <c r="S57" s="125" t="n"/>
      <c r="T57" s="125" t="n"/>
      <c r="U57" s="125" t="n"/>
      <c r="V57" s="125" t="n"/>
      <c r="W57" s="125" t="n"/>
      <c r="X57" s="125" t="n"/>
      <c r="Y57" s="125" t="n"/>
      <c r="Z57" s="125" t="n"/>
      <c r="AA57" s="125" t="n"/>
      <c r="AB57" s="125" t="n"/>
      <c r="AC57" s="125" t="n"/>
      <c r="AD57" s="125" t="n"/>
      <c r="AE57" s="125" t="n"/>
      <c r="AF57" s="125" t="n"/>
    </row>
    <row r="58" ht="15" customHeight="1" s="99">
      <c r="A58" s="125" t="n"/>
      <c r="B58" s="125" t="n"/>
      <c r="C58" s="125" t="n"/>
      <c r="D58" s="125" t="n"/>
      <c r="E58" s="125" t="n"/>
      <c r="F58" s="125" t="n"/>
      <c r="G58" s="125" t="n"/>
      <c r="H58" s="125" t="n"/>
      <c r="I58" s="125" t="n"/>
      <c r="J58" s="125" t="n"/>
      <c r="K58" s="125" t="n"/>
      <c r="L58" s="125" t="n"/>
      <c r="M58" s="125" t="n"/>
      <c r="N58" s="125" t="n"/>
      <c r="O58" s="125" t="n"/>
      <c r="P58" s="125" t="n"/>
      <c r="Q58" s="125" t="n"/>
      <c r="R58" s="125" t="n"/>
      <c r="S58" s="125" t="n"/>
      <c r="T58" s="125" t="n"/>
      <c r="U58" s="125" t="n"/>
      <c r="V58" s="125" t="n"/>
      <c r="W58" s="125" t="n"/>
      <c r="X58" s="125" t="n"/>
      <c r="Y58" s="125" t="n"/>
      <c r="Z58" s="125" t="n"/>
      <c r="AA58" s="125" t="n"/>
      <c r="AB58" s="125" t="n"/>
      <c r="AC58" s="125" t="n"/>
      <c r="AD58" s="125" t="n"/>
      <c r="AE58" s="125" t="n"/>
      <c r="AF58" s="125" t="n"/>
    </row>
    <row r="59" ht="15" customHeight="1" s="99">
      <c r="A59" s="125" t="n"/>
      <c r="B59" s="125" t="n"/>
      <c r="C59" s="125" t="n"/>
      <c r="D59" s="125" t="n"/>
      <c r="E59" s="125" t="n"/>
      <c r="F59" s="125" t="n"/>
      <c r="G59" s="125" t="n"/>
      <c r="H59" s="125" t="n"/>
      <c r="I59" s="125" t="n"/>
      <c r="J59" s="125" t="n"/>
      <c r="K59" s="125" t="n"/>
      <c r="L59" s="125" t="n"/>
      <c r="M59" s="125" t="n"/>
      <c r="N59" s="125" t="n"/>
      <c r="O59" s="125" t="n"/>
      <c r="P59" s="125" t="n"/>
      <c r="Q59" s="125" t="n"/>
      <c r="R59" s="125" t="n"/>
      <c r="S59" s="125" t="n"/>
      <c r="T59" s="125" t="n"/>
      <c r="U59" s="125" t="n"/>
      <c r="V59" s="125" t="n"/>
      <c r="W59" s="125" t="n"/>
      <c r="X59" s="125" t="n"/>
      <c r="Y59" s="125" t="n"/>
      <c r="Z59" s="125" t="n"/>
      <c r="AA59" s="125" t="n"/>
      <c r="AB59" s="125" t="n"/>
      <c r="AC59" s="125" t="n"/>
      <c r="AD59" s="125" t="n"/>
      <c r="AE59" s="125" t="n"/>
      <c r="AF59" s="125" t="n"/>
    </row>
    <row r="60" ht="15" customHeight="1" s="99">
      <c r="A60" s="125" t="n"/>
      <c r="B60" s="125" t="n"/>
      <c r="C60" s="125" t="n"/>
      <c r="D60" s="125" t="n"/>
      <c r="E60" s="125" t="n"/>
      <c r="F60" s="125" t="n"/>
      <c r="G60" s="125" t="n"/>
      <c r="H60" s="125" t="n"/>
      <c r="I60" s="125" t="n"/>
      <c r="J60" s="125" t="n"/>
      <c r="K60" s="125" t="n"/>
      <c r="L60" s="125" t="n"/>
      <c r="M60" s="125" t="n"/>
      <c r="N60" s="125" t="n"/>
      <c r="O60" s="125" t="n"/>
      <c r="P60" s="125" t="n"/>
      <c r="Q60" s="125" t="n"/>
      <c r="R60" s="125" t="n"/>
      <c r="S60" s="125" t="n"/>
      <c r="T60" s="125" t="n"/>
      <c r="U60" s="125" t="n"/>
      <c r="V60" s="125" t="n"/>
      <c r="W60" s="125" t="n"/>
      <c r="X60" s="125" t="n"/>
      <c r="Y60" s="125" t="n"/>
      <c r="Z60" s="125" t="n"/>
      <c r="AA60" s="125" t="n"/>
      <c r="AB60" s="125" t="n"/>
      <c r="AC60" s="125" t="n"/>
      <c r="AD60" s="125" t="n"/>
      <c r="AE60" s="125" t="n"/>
      <c r="AF60" s="125" t="n"/>
    </row>
    <row r="61" ht="15" customHeight="1" s="99">
      <c r="A61" s="125" t="n"/>
      <c r="B61" s="125" t="n"/>
      <c r="C61" s="125" t="n"/>
      <c r="D61" s="125" t="n"/>
      <c r="E61" s="125" t="n"/>
      <c r="F61" s="125" t="n"/>
      <c r="G61" s="125" t="n"/>
      <c r="H61" s="125" t="n"/>
      <c r="I61" s="125" t="n"/>
      <c r="J61" s="125" t="n"/>
      <c r="K61" s="125" t="n"/>
      <c r="L61" s="125" t="n"/>
      <c r="M61" s="125" t="n"/>
      <c r="N61" s="125" t="n"/>
      <c r="O61" s="125" t="n"/>
      <c r="P61" s="125" t="n"/>
      <c r="Q61" s="125" t="n"/>
      <c r="R61" s="125" t="n"/>
      <c r="S61" s="125" t="n"/>
      <c r="T61" s="125" t="n"/>
      <c r="U61" s="125" t="n"/>
      <c r="V61" s="125" t="n"/>
      <c r="W61" s="125" t="n"/>
      <c r="X61" s="125" t="n"/>
      <c r="Y61" s="125" t="n"/>
      <c r="Z61" s="125" t="n"/>
      <c r="AA61" s="125" t="n"/>
      <c r="AB61" s="125" t="n"/>
      <c r="AC61" s="125" t="n"/>
      <c r="AD61" s="125" t="n"/>
      <c r="AE61" s="125" t="n"/>
      <c r="AF61" s="125" t="n"/>
    </row>
    <row r="62" ht="15" customHeight="1" s="99">
      <c r="A62" s="125" t="n"/>
      <c r="B62" s="125" t="n"/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5" t="n"/>
      <c r="L62" s="125" t="n"/>
      <c r="M62" s="125" t="n"/>
      <c r="N62" s="125" t="n"/>
      <c r="O62" s="125" t="n"/>
      <c r="P62" s="125" t="n"/>
      <c r="Q62" s="125" t="n"/>
      <c r="R62" s="125" t="n"/>
      <c r="S62" s="125" t="n"/>
      <c r="T62" s="125" t="n"/>
      <c r="U62" s="125" t="n"/>
      <c r="V62" s="125" t="n"/>
      <c r="W62" s="125" t="n"/>
      <c r="X62" s="125" t="n"/>
      <c r="Y62" s="125" t="n"/>
      <c r="Z62" s="125" t="n"/>
      <c r="AA62" s="125" t="n"/>
      <c r="AB62" s="125" t="n"/>
      <c r="AC62" s="125" t="n"/>
      <c r="AD62" s="125" t="n"/>
      <c r="AE62" s="125" t="n"/>
      <c r="AF62" s="125" t="n"/>
    </row>
    <row r="63" ht="15" customHeight="1" s="99">
      <c r="A63" s="125" t="n"/>
      <c r="B63" s="125" t="n"/>
      <c r="C63" s="125" t="n"/>
      <c r="D63" s="125" t="n"/>
      <c r="E63" s="125" t="n"/>
      <c r="F63" s="125" t="n"/>
      <c r="G63" s="125" t="n"/>
      <c r="H63" s="125" t="n"/>
      <c r="I63" s="125" t="n"/>
      <c r="J63" s="125" t="n"/>
      <c r="K63" s="125" t="n"/>
      <c r="L63" s="125" t="n"/>
      <c r="M63" s="125" t="n"/>
      <c r="N63" s="125" t="n"/>
      <c r="O63" s="125" t="n"/>
      <c r="P63" s="125" t="n"/>
      <c r="Q63" s="125" t="n"/>
      <c r="R63" s="125" t="n"/>
      <c r="S63" s="125" t="n"/>
      <c r="T63" s="125" t="n"/>
      <c r="U63" s="125" t="n"/>
      <c r="V63" s="125" t="n"/>
      <c r="W63" s="125" t="n"/>
      <c r="X63" s="125" t="n"/>
      <c r="Y63" s="125" t="n"/>
      <c r="Z63" s="125" t="n"/>
      <c r="AA63" s="125" t="n"/>
      <c r="AB63" s="125" t="n"/>
      <c r="AC63" s="125" t="n"/>
      <c r="AD63" s="125" t="n"/>
      <c r="AE63" s="125" t="n"/>
      <c r="AF63" s="125" t="n"/>
    </row>
    <row r="64" ht="15" customHeight="1" s="99">
      <c r="A64" s="125" t="n"/>
      <c r="B64" s="125" t="n"/>
      <c r="C64" s="125" t="n"/>
      <c r="D64" s="125" t="n"/>
      <c r="E64" s="125" t="n"/>
      <c r="F64" s="125" t="n"/>
      <c r="G64" s="125" t="n"/>
      <c r="H64" s="125" t="n"/>
      <c r="I64" s="125" t="n"/>
      <c r="J64" s="125" t="n"/>
      <c r="K64" s="125" t="n"/>
      <c r="L64" s="125" t="n"/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  <c r="W64" s="125" t="n"/>
      <c r="X64" s="125" t="n"/>
      <c r="Y64" s="125" t="n"/>
      <c r="Z64" s="125" t="n"/>
      <c r="AA64" s="125" t="n"/>
      <c r="AB64" s="125" t="n"/>
      <c r="AC64" s="125" t="n"/>
      <c r="AD64" s="125" t="n"/>
      <c r="AE64" s="125" t="n"/>
      <c r="AF64" s="125" t="n"/>
    </row>
    <row r="65" ht="15" customHeight="1" s="99">
      <c r="A65" s="125" t="n"/>
      <c r="B65" s="125" t="n"/>
      <c r="C65" s="125" t="n"/>
      <c r="D65" s="125" t="n"/>
      <c r="E65" s="125" t="n"/>
      <c r="F65" s="125" t="n"/>
      <c r="G65" s="125" t="n"/>
      <c r="H65" s="125" t="n"/>
      <c r="I65" s="125" t="n"/>
      <c r="J65" s="125" t="n"/>
      <c r="K65" s="125" t="n"/>
      <c r="L65" s="125" t="n"/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  <c r="W65" s="125" t="n"/>
      <c r="X65" s="125" t="n"/>
      <c r="Y65" s="125" t="n"/>
      <c r="Z65" s="125" t="n"/>
      <c r="AA65" s="125" t="n"/>
      <c r="AB65" s="125" t="n"/>
      <c r="AC65" s="125" t="n"/>
      <c r="AD65" s="125" t="n"/>
      <c r="AE65" s="125" t="n"/>
      <c r="AF65" s="125" t="n"/>
    </row>
    <row r="66" ht="15" customHeight="1" s="99">
      <c r="A66" s="125" t="n"/>
      <c r="B66" s="125" t="n"/>
      <c r="C66" s="125" t="n"/>
      <c r="D66" s="125" t="n"/>
      <c r="E66" s="125" t="n"/>
      <c r="F66" s="125" t="n"/>
      <c r="G66" s="125" t="n"/>
      <c r="H66" s="125" t="n"/>
      <c r="I66" s="125" t="n"/>
      <c r="J66" s="125" t="n"/>
      <c r="K66" s="125" t="n"/>
      <c r="L66" s="125" t="n"/>
      <c r="M66" s="125" t="n"/>
      <c r="N66" s="125" t="n"/>
      <c r="O66" s="125" t="n"/>
      <c r="P66" s="125" t="n"/>
      <c r="Q66" s="125" t="n"/>
      <c r="R66" s="125" t="n"/>
      <c r="S66" s="125" t="n"/>
      <c r="T66" s="125" t="n"/>
      <c r="U66" s="125" t="n"/>
      <c r="V66" s="125" t="n"/>
      <c r="W66" s="125" t="n"/>
      <c r="X66" s="125" t="n"/>
      <c r="Y66" s="125" t="n"/>
      <c r="Z66" s="125" t="n"/>
      <c r="AA66" s="125" t="n"/>
      <c r="AB66" s="125" t="n"/>
      <c r="AC66" s="125" t="n"/>
      <c r="AD66" s="125" t="n"/>
      <c r="AE66" s="125" t="n"/>
      <c r="AF66" s="125" t="n"/>
    </row>
    <row r="67" ht="15" customHeight="1" s="99">
      <c r="A67" s="125" t="n"/>
      <c r="B67" s="125" t="n"/>
      <c r="C67" s="125" t="n"/>
      <c r="D67" s="125" t="n"/>
      <c r="E67" s="125" t="n"/>
      <c r="F67" s="125" t="n"/>
      <c r="G67" s="125" t="n"/>
      <c r="H67" s="125" t="n"/>
      <c r="I67" s="125" t="n"/>
      <c r="J67" s="125" t="n"/>
      <c r="K67" s="125" t="n"/>
      <c r="L67" s="125" t="n"/>
      <c r="M67" s="125" t="n"/>
      <c r="N67" s="125" t="n"/>
      <c r="O67" s="125" t="n"/>
      <c r="P67" s="125" t="n"/>
      <c r="Q67" s="125" t="n"/>
      <c r="R67" s="125" t="n"/>
      <c r="S67" s="125" t="n"/>
      <c r="T67" s="125" t="n"/>
      <c r="U67" s="125" t="n"/>
      <c r="V67" s="125" t="n"/>
      <c r="W67" s="125" t="n"/>
      <c r="X67" s="125" t="n"/>
      <c r="Y67" s="125" t="n"/>
      <c r="Z67" s="125" t="n"/>
      <c r="AA67" s="125" t="n"/>
      <c r="AB67" s="125" t="n"/>
      <c r="AC67" s="125" t="n"/>
      <c r="AD67" s="125" t="n"/>
      <c r="AE67" s="125" t="n"/>
      <c r="AF67" s="125" t="n"/>
    </row>
    <row r="68" ht="15" customHeight="1" s="99">
      <c r="A68" s="125" t="n"/>
      <c r="B68" s="125" t="n"/>
      <c r="C68" s="125" t="n"/>
      <c r="D68" s="125" t="n"/>
      <c r="E68" s="125" t="n"/>
      <c r="F68" s="125" t="n"/>
      <c r="G68" s="125" t="n"/>
      <c r="H68" s="125" t="n"/>
      <c r="I68" s="125" t="n"/>
      <c r="J68" s="125" t="n"/>
      <c r="K68" s="125" t="n"/>
      <c r="L68" s="125" t="n"/>
      <c r="M68" s="125" t="n"/>
      <c r="N68" s="125" t="n"/>
      <c r="O68" s="125" t="n"/>
      <c r="P68" s="125" t="n"/>
      <c r="Q68" s="125" t="n"/>
      <c r="R68" s="125" t="n"/>
      <c r="S68" s="125" t="n"/>
      <c r="T68" s="125" t="n"/>
      <c r="U68" s="125" t="n"/>
      <c r="V68" s="125" t="n"/>
      <c r="W68" s="125" t="n"/>
      <c r="X68" s="125" t="n"/>
      <c r="Y68" s="125" t="n"/>
      <c r="Z68" s="125" t="n"/>
      <c r="AA68" s="125" t="n"/>
      <c r="AB68" s="125" t="n"/>
      <c r="AC68" s="125" t="n"/>
      <c r="AD68" s="125" t="n"/>
      <c r="AE68" s="125" t="n"/>
      <c r="AF68" s="125" t="n"/>
    </row>
    <row r="69" ht="15" customHeight="1" s="99">
      <c r="A69" s="125" t="n"/>
      <c r="B69" s="125" t="n"/>
      <c r="C69" s="125" t="n"/>
      <c r="D69" s="125" t="n"/>
      <c r="E69" s="125" t="n"/>
      <c r="F69" s="125" t="n"/>
      <c r="G69" s="125" t="n"/>
      <c r="H69" s="125" t="n"/>
      <c r="I69" s="125" t="n"/>
      <c r="J69" s="125" t="n"/>
      <c r="K69" s="125" t="n"/>
      <c r="L69" s="125" t="n"/>
      <c r="M69" s="125" t="n"/>
      <c r="N69" s="125" t="n"/>
      <c r="O69" s="125" t="n"/>
      <c r="P69" s="125" t="n"/>
      <c r="Q69" s="125" t="n"/>
      <c r="R69" s="125" t="n"/>
      <c r="S69" s="125" t="n"/>
      <c r="T69" s="125" t="n"/>
      <c r="U69" s="125" t="n"/>
      <c r="V69" s="125" t="n"/>
      <c r="W69" s="125" t="n"/>
      <c r="X69" s="125" t="n"/>
      <c r="Y69" s="125" t="n"/>
      <c r="Z69" s="125" t="n"/>
      <c r="AA69" s="125" t="n"/>
      <c r="AB69" s="125" t="n"/>
      <c r="AC69" s="125" t="n"/>
      <c r="AD69" s="125" t="n"/>
      <c r="AE69" s="125" t="n"/>
      <c r="AF69" s="125" t="n"/>
    </row>
    <row r="70" ht="15" customHeight="1" s="99">
      <c r="A70" s="125" t="n"/>
      <c r="B70" s="125" t="n"/>
      <c r="C70" s="125" t="n"/>
      <c r="D70" s="125" t="n"/>
      <c r="E70" s="125" t="n"/>
      <c r="F70" s="125" t="n"/>
      <c r="G70" s="125" t="n"/>
      <c r="H70" s="125" t="n"/>
      <c r="I70" s="125" t="n"/>
      <c r="J70" s="125" t="n"/>
      <c r="K70" s="125" t="n"/>
      <c r="L70" s="125" t="n"/>
      <c r="M70" s="125" t="n"/>
      <c r="N70" s="125" t="n"/>
      <c r="O70" s="125" t="n"/>
      <c r="P70" s="125" t="n"/>
      <c r="Q70" s="125" t="n"/>
      <c r="R70" s="125" t="n"/>
      <c r="S70" s="125" t="n"/>
      <c r="T70" s="125" t="n"/>
      <c r="U70" s="125" t="n"/>
      <c r="V70" s="125" t="n"/>
      <c r="W70" s="125" t="n"/>
      <c r="X70" s="125" t="n"/>
      <c r="Y70" s="125" t="n"/>
      <c r="Z70" s="125" t="n"/>
      <c r="AA70" s="125" t="n"/>
      <c r="AB70" s="125" t="n"/>
      <c r="AC70" s="125" t="n"/>
      <c r="AD70" s="125" t="n"/>
      <c r="AE70" s="125" t="n"/>
      <c r="AF70" s="125" t="n"/>
    </row>
    <row r="71" ht="15" customHeight="1" s="99">
      <c r="A71" s="125" t="n"/>
      <c r="B71" s="125" t="n"/>
      <c r="C71" s="125" t="n"/>
      <c r="D71" s="125" t="n"/>
      <c r="E71" s="125" t="n"/>
      <c r="F71" s="125" t="n"/>
      <c r="G71" s="125" t="n"/>
      <c r="H71" s="125" t="n"/>
      <c r="I71" s="125" t="n"/>
      <c r="J71" s="125" t="n"/>
      <c r="K71" s="125" t="n"/>
      <c r="L71" s="125" t="n"/>
      <c r="M71" s="125" t="n"/>
      <c r="N71" s="125" t="n"/>
      <c r="O71" s="125" t="n"/>
      <c r="P71" s="125" t="n"/>
      <c r="Q71" s="125" t="n"/>
      <c r="R71" s="125" t="n"/>
      <c r="S71" s="125" t="n"/>
      <c r="T71" s="125" t="n"/>
      <c r="U71" s="125" t="n"/>
      <c r="V71" s="125" t="n"/>
      <c r="W71" s="125" t="n"/>
      <c r="X71" s="125" t="n"/>
      <c r="Y71" s="125" t="n"/>
      <c r="Z71" s="125" t="n"/>
      <c r="AA71" s="125" t="n"/>
      <c r="AB71" s="125" t="n"/>
      <c r="AC71" s="125" t="n"/>
      <c r="AD71" s="125" t="n"/>
      <c r="AE71" s="125" t="n"/>
      <c r="AF71" s="125" t="n"/>
    </row>
    <row r="72" ht="15" customHeight="1" s="99">
      <c r="A72" s="125" t="n"/>
      <c r="B72" s="125" t="n"/>
      <c r="C72" s="125" t="n"/>
      <c r="D72" s="125" t="n"/>
      <c r="E72" s="125" t="n"/>
      <c r="F72" s="125" t="n"/>
      <c r="G72" s="125" t="n"/>
      <c r="H72" s="125" t="n"/>
      <c r="I72" s="125" t="n"/>
      <c r="J72" s="125" t="n"/>
      <c r="K72" s="125" t="n"/>
      <c r="L72" s="125" t="n"/>
      <c r="M72" s="125" t="n"/>
      <c r="N72" s="125" t="n"/>
      <c r="O72" s="125" t="n"/>
      <c r="P72" s="125" t="n"/>
      <c r="Q72" s="125" t="n"/>
      <c r="R72" s="125" t="n"/>
      <c r="S72" s="125" t="n"/>
      <c r="T72" s="125" t="n"/>
      <c r="U72" s="125" t="n"/>
      <c r="V72" s="125" t="n"/>
      <c r="W72" s="125" t="n"/>
      <c r="X72" s="125" t="n"/>
      <c r="Y72" s="125" t="n"/>
      <c r="Z72" s="125" t="n"/>
      <c r="AA72" s="125" t="n"/>
      <c r="AB72" s="125" t="n"/>
      <c r="AC72" s="125" t="n"/>
      <c r="AD72" s="125" t="n"/>
      <c r="AE72" s="125" t="n"/>
      <c r="AF72" s="125" t="n"/>
    </row>
    <row r="73" ht="15" customHeight="1" s="99">
      <c r="A73" s="125" t="n"/>
      <c r="B73" s="125" t="n"/>
      <c r="C73" s="125" t="n"/>
      <c r="D73" s="125" t="n"/>
      <c r="E73" s="125" t="n"/>
      <c r="F73" s="125" t="n"/>
      <c r="G73" s="125" t="n"/>
      <c r="H73" s="125" t="n"/>
      <c r="I73" s="125" t="n"/>
      <c r="J73" s="125" t="n"/>
      <c r="K73" s="125" t="n"/>
      <c r="L73" s="125" t="n"/>
      <c r="M73" s="125" t="n"/>
      <c r="N73" s="125" t="n"/>
      <c r="O73" s="125" t="n"/>
      <c r="P73" s="125" t="n"/>
      <c r="Q73" s="125" t="n"/>
      <c r="R73" s="125" t="n"/>
      <c r="S73" s="125" t="n"/>
      <c r="T73" s="125" t="n"/>
      <c r="U73" s="125" t="n"/>
      <c r="V73" s="125" t="n"/>
      <c r="W73" s="125" t="n"/>
      <c r="X73" s="125" t="n"/>
      <c r="Y73" s="125" t="n"/>
      <c r="Z73" s="125" t="n"/>
      <c r="AA73" s="125" t="n"/>
      <c r="AB73" s="125" t="n"/>
      <c r="AC73" s="125" t="n"/>
      <c r="AD73" s="125" t="n"/>
      <c r="AE73" s="125" t="n"/>
      <c r="AF73" s="125" t="n"/>
    </row>
    <row r="74" ht="15" customHeight="1" s="99">
      <c r="A74" s="125" t="n"/>
      <c r="B74" s="125" t="n"/>
      <c r="C74" s="125" t="n"/>
      <c r="D74" s="125" t="n"/>
      <c r="E74" s="125" t="n"/>
      <c r="F74" s="125" t="n"/>
      <c r="G74" s="125" t="n"/>
      <c r="H74" s="125" t="n"/>
      <c r="I74" s="125" t="n"/>
      <c r="J74" s="125" t="n"/>
      <c r="K74" s="125" t="n"/>
      <c r="L74" s="125" t="n"/>
      <c r="M74" s="125" t="n"/>
      <c r="N74" s="125" t="n"/>
      <c r="O74" s="125" t="n"/>
      <c r="P74" s="125" t="n"/>
      <c r="Q74" s="125" t="n"/>
      <c r="R74" s="125" t="n"/>
      <c r="S74" s="125" t="n"/>
      <c r="T74" s="125" t="n"/>
      <c r="U74" s="125" t="n"/>
      <c r="V74" s="125" t="n"/>
      <c r="W74" s="125" t="n"/>
      <c r="X74" s="125" t="n"/>
      <c r="Y74" s="125" t="n"/>
      <c r="Z74" s="125" t="n"/>
      <c r="AA74" s="125" t="n"/>
      <c r="AB74" s="125" t="n"/>
      <c r="AC74" s="125" t="n"/>
      <c r="AD74" s="125" t="n"/>
      <c r="AE74" s="125" t="n"/>
      <c r="AF74" s="125" t="n"/>
    </row>
    <row r="75" ht="15" customHeight="1" s="99">
      <c r="A75" s="125" t="n"/>
      <c r="B75" s="125" t="n"/>
      <c r="C75" s="125" t="n"/>
      <c r="D75" s="125" t="n"/>
      <c r="E75" s="125" t="n"/>
      <c r="F75" s="125" t="n"/>
      <c r="G75" s="125" t="n"/>
      <c r="H75" s="125" t="n"/>
      <c r="I75" s="125" t="n"/>
      <c r="J75" s="125" t="n"/>
      <c r="K75" s="125" t="n"/>
      <c r="L75" s="125" t="n"/>
      <c r="M75" s="125" t="n"/>
      <c r="N75" s="125" t="n"/>
      <c r="O75" s="125" t="n"/>
      <c r="P75" s="125" t="n"/>
      <c r="Q75" s="125" t="n"/>
      <c r="R75" s="125" t="n"/>
      <c r="S75" s="125" t="n"/>
      <c r="T75" s="125" t="n"/>
      <c r="U75" s="125" t="n"/>
      <c r="V75" s="125" t="n"/>
      <c r="W75" s="125" t="n"/>
      <c r="X75" s="125" t="n"/>
      <c r="Y75" s="125" t="n"/>
      <c r="Z75" s="125" t="n"/>
      <c r="AA75" s="125" t="n"/>
      <c r="AB75" s="125" t="n"/>
      <c r="AC75" s="125" t="n"/>
      <c r="AD75" s="125" t="n"/>
      <c r="AE75" s="125" t="n"/>
      <c r="AF75" s="125" t="n"/>
    </row>
    <row r="76" ht="15" customHeight="1" s="99">
      <c r="A76" s="125" t="n"/>
      <c r="B76" s="125" t="n"/>
      <c r="C76" s="125" t="n"/>
      <c r="D76" s="125" t="n"/>
      <c r="E76" s="125" t="n"/>
      <c r="F76" s="125" t="n"/>
      <c r="G76" s="125" t="n"/>
      <c r="H76" s="125" t="n"/>
      <c r="I76" s="125" t="n"/>
      <c r="J76" s="125" t="n"/>
      <c r="K76" s="125" t="n"/>
      <c r="L76" s="125" t="n"/>
      <c r="M76" s="125" t="n"/>
      <c r="N76" s="125" t="n"/>
      <c r="O76" s="125" t="n"/>
      <c r="P76" s="125" t="n"/>
      <c r="Q76" s="125" t="n"/>
      <c r="R76" s="125" t="n"/>
      <c r="S76" s="125" t="n"/>
      <c r="T76" s="125" t="n"/>
      <c r="U76" s="125" t="n"/>
      <c r="V76" s="125" t="n"/>
      <c r="W76" s="125" t="n"/>
      <c r="X76" s="125" t="n"/>
      <c r="Y76" s="125" t="n"/>
      <c r="Z76" s="125" t="n"/>
      <c r="AA76" s="125" t="n"/>
      <c r="AB76" s="125" t="n"/>
      <c r="AC76" s="125" t="n"/>
      <c r="AD76" s="125" t="n"/>
      <c r="AE76" s="125" t="n"/>
      <c r="AF76" s="125" t="n"/>
    </row>
    <row r="77" ht="15" customHeight="1" s="99">
      <c r="A77" s="125" t="n"/>
      <c r="B77" s="125" t="n"/>
      <c r="C77" s="125" t="n"/>
      <c r="D77" s="125" t="n"/>
      <c r="E77" s="125" t="n"/>
      <c r="F77" s="125" t="n"/>
      <c r="G77" s="125" t="n"/>
      <c r="H77" s="125" t="n"/>
      <c r="I77" s="125" t="n"/>
      <c r="J77" s="125" t="n"/>
      <c r="K77" s="125" t="n"/>
      <c r="L77" s="125" t="n"/>
      <c r="M77" s="125" t="n"/>
      <c r="N77" s="125" t="n"/>
      <c r="O77" s="125" t="n"/>
      <c r="P77" s="125" t="n"/>
      <c r="Q77" s="125" t="n"/>
      <c r="R77" s="125" t="n"/>
      <c r="S77" s="125" t="n"/>
      <c r="T77" s="125" t="n"/>
      <c r="U77" s="125" t="n"/>
      <c r="V77" s="125" t="n"/>
      <c r="W77" s="125" t="n"/>
      <c r="X77" s="125" t="n"/>
      <c r="Y77" s="125" t="n"/>
      <c r="Z77" s="125" t="n"/>
      <c r="AA77" s="125" t="n"/>
      <c r="AB77" s="125" t="n"/>
      <c r="AC77" s="125" t="n"/>
      <c r="AD77" s="125" t="n"/>
      <c r="AE77" s="125" t="n"/>
      <c r="AF77" s="125" t="n"/>
    </row>
    <row r="78" ht="15" customHeight="1" s="99">
      <c r="A78" s="125" t="n"/>
      <c r="B78" s="125" t="n"/>
      <c r="C78" s="125" t="n"/>
      <c r="D78" s="125" t="n"/>
      <c r="E78" s="125" t="n"/>
      <c r="F78" s="125" t="n"/>
      <c r="G78" s="125" t="n"/>
      <c r="H78" s="125" t="n"/>
      <c r="I78" s="125" t="n"/>
      <c r="J78" s="125" t="n"/>
      <c r="K78" s="125" t="n"/>
      <c r="L78" s="125" t="n"/>
      <c r="M78" s="125" t="n"/>
      <c r="N78" s="125" t="n"/>
      <c r="O78" s="125" t="n"/>
      <c r="P78" s="125" t="n"/>
      <c r="Q78" s="125" t="n"/>
      <c r="R78" s="125" t="n"/>
      <c r="S78" s="125" t="n"/>
      <c r="T78" s="125" t="n"/>
      <c r="U78" s="125" t="n"/>
      <c r="V78" s="125" t="n"/>
      <c r="W78" s="125" t="n"/>
      <c r="X78" s="125" t="n"/>
      <c r="Y78" s="125" t="n"/>
      <c r="Z78" s="125" t="n"/>
      <c r="AA78" s="125" t="n"/>
      <c r="AB78" s="125" t="n"/>
      <c r="AC78" s="125" t="n"/>
      <c r="AD78" s="125" t="n"/>
      <c r="AE78" s="125" t="n"/>
      <c r="AF78" s="125" t="n"/>
    </row>
    <row r="79" ht="15" customHeight="1" s="99">
      <c r="A79" s="125" t="n"/>
      <c r="B79" s="125" t="n"/>
      <c r="C79" s="125" t="n"/>
      <c r="D79" s="125" t="n"/>
      <c r="E79" s="125" t="n"/>
      <c r="F79" s="125" t="n"/>
      <c r="G79" s="125" t="n"/>
      <c r="H79" s="125" t="n"/>
      <c r="I79" s="125" t="n"/>
      <c r="J79" s="125" t="n"/>
      <c r="K79" s="125" t="n"/>
      <c r="L79" s="125" t="n"/>
      <c r="M79" s="125" t="n"/>
      <c r="N79" s="125" t="n"/>
      <c r="O79" s="125" t="n"/>
      <c r="P79" s="125" t="n"/>
      <c r="Q79" s="125" t="n"/>
      <c r="R79" s="125" t="n"/>
      <c r="S79" s="125" t="n"/>
      <c r="T79" s="125" t="n"/>
      <c r="U79" s="125" t="n"/>
      <c r="V79" s="125" t="n"/>
      <c r="W79" s="125" t="n"/>
      <c r="X79" s="125" t="n"/>
      <c r="Y79" s="125" t="n"/>
      <c r="Z79" s="125" t="n"/>
      <c r="AA79" s="125" t="n"/>
      <c r="AB79" s="125" t="n"/>
      <c r="AC79" s="125" t="n"/>
      <c r="AD79" s="125" t="n"/>
      <c r="AE79" s="125" t="n"/>
      <c r="AF79" s="125" t="n"/>
    </row>
    <row r="80" ht="15" customHeight="1" s="99">
      <c r="A80" s="125" t="n"/>
      <c r="B80" s="125" t="n"/>
      <c r="C80" s="125" t="n"/>
      <c r="D80" s="125" t="n"/>
      <c r="E80" s="125" t="n"/>
      <c r="F80" s="125" t="n"/>
      <c r="G80" s="125" t="n"/>
      <c r="H80" s="125" t="n"/>
      <c r="I80" s="125" t="n"/>
      <c r="J80" s="125" t="n"/>
      <c r="K80" s="125" t="n"/>
      <c r="L80" s="125" t="n"/>
      <c r="M80" s="125" t="n"/>
      <c r="N80" s="125" t="n"/>
      <c r="O80" s="125" t="n"/>
      <c r="P80" s="125" t="n"/>
      <c r="Q80" s="125" t="n"/>
      <c r="R80" s="125" t="n"/>
      <c r="S80" s="125" t="n"/>
      <c r="T80" s="125" t="n"/>
      <c r="U80" s="125" t="n"/>
      <c r="V80" s="125" t="n"/>
      <c r="W80" s="125" t="n"/>
      <c r="X80" s="125" t="n"/>
      <c r="Y80" s="125" t="n"/>
      <c r="Z80" s="125" t="n"/>
      <c r="AA80" s="125" t="n"/>
      <c r="AB80" s="125" t="n"/>
      <c r="AC80" s="125" t="n"/>
      <c r="AD80" s="125" t="n"/>
      <c r="AE80" s="125" t="n"/>
      <c r="AF80" s="125" t="n"/>
    </row>
    <row r="81" ht="15" customHeight="1" s="99">
      <c r="A81" s="125" t="n"/>
      <c r="B81" s="125" t="n"/>
      <c r="C81" s="125" t="n"/>
      <c r="D81" s="125" t="n"/>
      <c r="E81" s="125" t="n"/>
      <c r="F81" s="125" t="n"/>
      <c r="G81" s="125" t="n"/>
      <c r="H81" s="125" t="n"/>
      <c r="I81" s="125" t="n"/>
      <c r="J81" s="125" t="n"/>
      <c r="K81" s="125" t="n"/>
      <c r="L81" s="125" t="n"/>
      <c r="M81" s="125" t="n"/>
      <c r="N81" s="125" t="n"/>
      <c r="O81" s="125" t="n"/>
      <c r="P81" s="125" t="n"/>
      <c r="Q81" s="125" t="n"/>
      <c r="R81" s="125" t="n"/>
      <c r="S81" s="125" t="n"/>
      <c r="T81" s="125" t="n"/>
      <c r="U81" s="125" t="n"/>
      <c r="V81" s="125" t="n"/>
      <c r="W81" s="125" t="n"/>
      <c r="X81" s="125" t="n"/>
      <c r="Y81" s="125" t="n"/>
      <c r="Z81" s="125" t="n"/>
      <c r="AA81" s="125" t="n"/>
      <c r="AB81" s="125" t="n"/>
      <c r="AC81" s="125" t="n"/>
      <c r="AD81" s="125" t="n"/>
      <c r="AE81" s="125" t="n"/>
      <c r="AF81" s="125" t="n"/>
    </row>
    <row r="82" ht="15" customHeight="1" s="99">
      <c r="A82" s="125" t="n"/>
      <c r="B82" s="125" t="n"/>
      <c r="C82" s="125" t="n"/>
      <c r="D82" s="125" t="n"/>
      <c r="E82" s="125" t="n"/>
      <c r="F82" s="125" t="n"/>
      <c r="G82" s="125" t="n"/>
      <c r="H82" s="125" t="n"/>
      <c r="I82" s="125" t="n"/>
      <c r="J82" s="125" t="n"/>
      <c r="K82" s="125" t="n"/>
      <c r="L82" s="125" t="n"/>
      <c r="M82" s="125" t="n"/>
      <c r="N82" s="125" t="n"/>
      <c r="O82" s="125" t="n"/>
      <c r="P82" s="125" t="n"/>
      <c r="Q82" s="125" t="n"/>
      <c r="R82" s="125" t="n"/>
      <c r="S82" s="125" t="n"/>
      <c r="T82" s="125" t="n"/>
      <c r="U82" s="125" t="n"/>
      <c r="V82" s="125" t="n"/>
      <c r="W82" s="125" t="n"/>
      <c r="X82" s="125" t="n"/>
      <c r="Y82" s="125" t="n"/>
      <c r="Z82" s="125" t="n"/>
      <c r="AA82" s="125" t="n"/>
      <c r="AB82" s="125" t="n"/>
      <c r="AC82" s="125" t="n"/>
      <c r="AD82" s="125" t="n"/>
      <c r="AE82" s="125" t="n"/>
      <c r="AF82" s="125" t="n"/>
    </row>
    <row r="83" ht="15" customHeight="1" s="99">
      <c r="A83" s="125" t="n"/>
      <c r="B83" s="125" t="n"/>
      <c r="C83" s="125" t="n"/>
      <c r="D83" s="125" t="n"/>
      <c r="E83" s="125" t="n"/>
      <c r="F83" s="125" t="n"/>
      <c r="G83" s="125" t="n"/>
      <c r="H83" s="125" t="n"/>
      <c r="I83" s="125" t="n"/>
      <c r="J83" s="125" t="n"/>
      <c r="K83" s="125" t="n"/>
      <c r="L83" s="125" t="n"/>
      <c r="M83" s="125" t="n"/>
      <c r="N83" s="125" t="n"/>
      <c r="O83" s="125" t="n"/>
      <c r="P83" s="125" t="n"/>
      <c r="Q83" s="125" t="n"/>
      <c r="R83" s="125" t="n"/>
      <c r="S83" s="125" t="n"/>
      <c r="T83" s="125" t="n"/>
      <c r="U83" s="125" t="n"/>
      <c r="V83" s="125" t="n"/>
      <c r="W83" s="125" t="n"/>
      <c r="X83" s="125" t="n"/>
      <c r="Y83" s="125" t="n"/>
      <c r="Z83" s="125" t="n"/>
      <c r="AA83" s="125" t="n"/>
      <c r="AB83" s="125" t="n"/>
      <c r="AC83" s="125" t="n"/>
      <c r="AD83" s="125" t="n"/>
      <c r="AE83" s="125" t="n"/>
      <c r="AF83" s="125" t="n"/>
    </row>
    <row r="84" ht="15" customHeight="1" s="99">
      <c r="A84" s="125" t="n"/>
      <c r="B84" s="125" t="n"/>
      <c r="C84" s="125" t="n"/>
      <c r="D84" s="125" t="n"/>
      <c r="E84" s="125" t="n"/>
      <c r="F84" s="125" t="n"/>
      <c r="G84" s="125" t="n"/>
      <c r="H84" s="125" t="n"/>
      <c r="I84" s="125" t="n"/>
      <c r="J84" s="125" t="n"/>
      <c r="K84" s="125" t="n"/>
      <c r="L84" s="125" t="n"/>
      <c r="M84" s="125" t="n"/>
      <c r="N84" s="125" t="n"/>
      <c r="O84" s="125" t="n"/>
      <c r="P84" s="125" t="n"/>
      <c r="Q84" s="125" t="n"/>
      <c r="R84" s="125" t="n"/>
      <c r="S84" s="125" t="n"/>
      <c r="T84" s="125" t="n"/>
      <c r="U84" s="125" t="n"/>
      <c r="V84" s="125" t="n"/>
      <c r="W84" s="125" t="n"/>
      <c r="X84" s="125" t="n"/>
      <c r="Y84" s="125" t="n"/>
      <c r="Z84" s="125" t="n"/>
      <c r="AA84" s="125" t="n"/>
      <c r="AB84" s="125" t="n"/>
      <c r="AC84" s="125" t="n"/>
      <c r="AD84" s="125" t="n"/>
      <c r="AE84" s="125" t="n"/>
      <c r="AF84" s="125" t="n"/>
    </row>
    <row r="85" ht="15" customHeight="1" s="99">
      <c r="A85" s="125" t="n"/>
      <c r="B85" s="125" t="n"/>
      <c r="C85" s="125" t="n"/>
      <c r="D85" s="125" t="n"/>
      <c r="E85" s="125" t="n"/>
      <c r="F85" s="125" t="n"/>
      <c r="G85" s="125" t="n"/>
      <c r="H85" s="125" t="n"/>
      <c r="I85" s="125" t="n"/>
      <c r="J85" s="125" t="n"/>
      <c r="K85" s="125" t="n"/>
      <c r="L85" s="125" t="n"/>
      <c r="M85" s="125" t="n"/>
      <c r="N85" s="125" t="n"/>
      <c r="O85" s="125" t="n"/>
      <c r="P85" s="125" t="n"/>
      <c r="Q85" s="125" t="n"/>
      <c r="R85" s="125" t="n"/>
      <c r="S85" s="125" t="n"/>
      <c r="T85" s="125" t="n"/>
      <c r="U85" s="125" t="n"/>
      <c r="V85" s="125" t="n"/>
      <c r="W85" s="125" t="n"/>
      <c r="X85" s="125" t="n"/>
      <c r="Y85" s="125" t="n"/>
      <c r="Z85" s="125" t="n"/>
      <c r="AA85" s="125" t="n"/>
      <c r="AB85" s="125" t="n"/>
      <c r="AC85" s="125" t="n"/>
      <c r="AD85" s="125" t="n"/>
      <c r="AE85" s="125" t="n"/>
      <c r="AF85" s="125" t="n"/>
    </row>
    <row r="86" ht="15" customHeight="1" s="99">
      <c r="A86" s="125" t="n"/>
      <c r="B86" s="125" t="n"/>
      <c r="C86" s="125" t="n"/>
      <c r="D86" s="125" t="n"/>
      <c r="E86" s="125" t="n"/>
      <c r="F86" s="125" t="n"/>
      <c r="G86" s="125" t="n"/>
      <c r="H86" s="125" t="n"/>
      <c r="I86" s="125" t="n"/>
      <c r="J86" s="125" t="n"/>
      <c r="K86" s="125" t="n"/>
      <c r="L86" s="125" t="n"/>
      <c r="M86" s="125" t="n"/>
      <c r="N86" s="125" t="n"/>
      <c r="O86" s="125" t="n"/>
      <c r="P86" s="125" t="n"/>
      <c r="Q86" s="125" t="n"/>
      <c r="R86" s="125" t="n"/>
      <c r="S86" s="125" t="n"/>
      <c r="T86" s="125" t="n"/>
      <c r="U86" s="125" t="n"/>
      <c r="V86" s="125" t="n"/>
      <c r="W86" s="125" t="n"/>
      <c r="X86" s="125" t="n"/>
      <c r="Y86" s="125" t="n"/>
      <c r="Z86" s="125" t="n"/>
      <c r="AA86" s="125" t="n"/>
      <c r="AB86" s="125" t="n"/>
      <c r="AC86" s="125" t="n"/>
      <c r="AD86" s="125" t="n"/>
      <c r="AE86" s="125" t="n"/>
      <c r="AF86" s="125" t="n"/>
    </row>
    <row r="87" ht="15" customHeight="1" s="99">
      <c r="A87" s="125" t="n"/>
      <c r="B87" s="125" t="n"/>
      <c r="C87" s="125" t="n"/>
      <c r="D87" s="125" t="n"/>
      <c r="E87" s="125" t="n"/>
      <c r="F87" s="125" t="n"/>
      <c r="G87" s="125" t="n"/>
      <c r="H87" s="125" t="n"/>
      <c r="I87" s="125" t="n"/>
      <c r="J87" s="125" t="n"/>
      <c r="K87" s="125" t="n"/>
      <c r="L87" s="125" t="n"/>
      <c r="M87" s="125" t="n"/>
      <c r="N87" s="125" t="n"/>
      <c r="O87" s="125" t="n"/>
      <c r="P87" s="125" t="n"/>
      <c r="Q87" s="125" t="n"/>
      <c r="R87" s="125" t="n"/>
      <c r="S87" s="125" t="n"/>
      <c r="T87" s="125" t="n"/>
      <c r="U87" s="125" t="n"/>
      <c r="V87" s="125" t="n"/>
      <c r="W87" s="125" t="n"/>
      <c r="X87" s="125" t="n"/>
      <c r="Y87" s="125" t="n"/>
      <c r="Z87" s="125" t="n"/>
      <c r="AA87" s="125" t="n"/>
      <c r="AB87" s="125" t="n"/>
      <c r="AC87" s="125" t="n"/>
      <c r="AD87" s="125" t="n"/>
      <c r="AE87" s="125" t="n"/>
      <c r="AF87" s="125" t="n"/>
    </row>
    <row r="88" ht="15" customHeight="1" s="99">
      <c r="A88" s="125" t="n"/>
      <c r="B88" s="125" t="n"/>
      <c r="C88" s="125" t="n"/>
      <c r="D88" s="125" t="n"/>
      <c r="E88" s="125" t="n"/>
      <c r="F88" s="125" t="n"/>
      <c r="G88" s="125" t="n"/>
      <c r="H88" s="125" t="n"/>
      <c r="I88" s="125" t="n"/>
      <c r="J88" s="125" t="n"/>
      <c r="K88" s="125" t="n"/>
      <c r="L88" s="125" t="n"/>
      <c r="M88" s="125" t="n"/>
      <c r="N88" s="125" t="n"/>
      <c r="O88" s="125" t="n"/>
      <c r="P88" s="125" t="n"/>
      <c r="Q88" s="125" t="n"/>
      <c r="R88" s="125" t="n"/>
      <c r="S88" s="125" t="n"/>
      <c r="T88" s="125" t="n"/>
      <c r="U88" s="125" t="n"/>
      <c r="V88" s="125" t="n"/>
      <c r="W88" s="125" t="n"/>
      <c r="X88" s="125" t="n"/>
      <c r="Y88" s="125" t="n"/>
      <c r="Z88" s="125" t="n"/>
      <c r="AA88" s="125" t="n"/>
      <c r="AB88" s="125" t="n"/>
      <c r="AC88" s="125" t="n"/>
      <c r="AD88" s="125" t="n"/>
      <c r="AE88" s="125" t="n"/>
      <c r="AF88" s="125" t="n"/>
    </row>
    <row r="89" ht="15" customHeight="1" s="99">
      <c r="A89" s="125" t="n"/>
      <c r="B89" s="125" t="n"/>
      <c r="C89" s="125" t="n"/>
      <c r="D89" s="125" t="n"/>
      <c r="E89" s="125" t="n"/>
      <c r="F89" s="125" t="n"/>
      <c r="G89" s="125" t="n"/>
      <c r="H89" s="125" t="n"/>
      <c r="I89" s="125" t="n"/>
      <c r="J89" s="125" t="n"/>
      <c r="K89" s="125" t="n"/>
      <c r="L89" s="125" t="n"/>
      <c r="M89" s="125" t="n"/>
      <c r="N89" s="125" t="n"/>
      <c r="O89" s="125" t="n"/>
      <c r="P89" s="125" t="n"/>
      <c r="Q89" s="125" t="n"/>
      <c r="R89" s="125" t="n"/>
      <c r="S89" s="125" t="n"/>
      <c r="T89" s="125" t="n"/>
      <c r="U89" s="125" t="n"/>
      <c r="V89" s="125" t="n"/>
      <c r="W89" s="125" t="n"/>
      <c r="X89" s="125" t="n"/>
      <c r="Y89" s="125" t="n"/>
      <c r="Z89" s="125" t="n"/>
      <c r="AA89" s="125" t="n"/>
      <c r="AB89" s="125" t="n"/>
      <c r="AC89" s="125" t="n"/>
      <c r="AD89" s="125" t="n"/>
      <c r="AE89" s="125" t="n"/>
      <c r="AF89" s="125" t="n"/>
    </row>
    <row r="90" ht="15" customHeight="1" s="99">
      <c r="A90" s="125" t="n"/>
      <c r="B90" s="125" t="n"/>
      <c r="C90" s="125" t="n"/>
      <c r="D90" s="125" t="n"/>
      <c r="E90" s="125" t="n"/>
      <c r="F90" s="125" t="n"/>
      <c r="G90" s="125" t="n"/>
      <c r="H90" s="125" t="n"/>
      <c r="I90" s="125" t="n"/>
      <c r="J90" s="125" t="n"/>
      <c r="K90" s="125" t="n"/>
      <c r="L90" s="125" t="n"/>
      <c r="M90" s="125" t="n"/>
      <c r="N90" s="125" t="n"/>
      <c r="O90" s="125" t="n"/>
      <c r="P90" s="125" t="n"/>
      <c r="Q90" s="125" t="n"/>
      <c r="R90" s="125" t="n"/>
      <c r="S90" s="125" t="n"/>
      <c r="T90" s="125" t="n"/>
      <c r="U90" s="125" t="n"/>
      <c r="V90" s="125" t="n"/>
      <c r="W90" s="125" t="n"/>
      <c r="X90" s="125" t="n"/>
      <c r="Y90" s="125" t="n"/>
      <c r="Z90" s="125" t="n"/>
      <c r="AA90" s="125" t="n"/>
      <c r="AB90" s="125" t="n"/>
      <c r="AC90" s="125" t="n"/>
      <c r="AD90" s="125" t="n"/>
      <c r="AE90" s="125" t="n"/>
      <c r="AF90" s="125" t="n"/>
    </row>
    <row r="91" ht="15" customHeight="1" s="99">
      <c r="A91" s="125" t="n"/>
      <c r="B91" s="125" t="n"/>
      <c r="C91" s="125" t="n"/>
      <c r="D91" s="125" t="n"/>
      <c r="E91" s="125" t="n"/>
      <c r="F91" s="125" t="n"/>
      <c r="G91" s="125" t="n"/>
      <c r="H91" s="125" t="n"/>
      <c r="I91" s="125" t="n"/>
      <c r="J91" s="125" t="n"/>
      <c r="K91" s="125" t="n"/>
      <c r="L91" s="125" t="n"/>
      <c r="M91" s="125" t="n"/>
      <c r="N91" s="125" t="n"/>
      <c r="O91" s="125" t="n"/>
      <c r="P91" s="125" t="n"/>
      <c r="Q91" s="125" t="n"/>
      <c r="R91" s="125" t="n"/>
      <c r="S91" s="125" t="n"/>
      <c r="T91" s="125" t="n"/>
      <c r="U91" s="125" t="n"/>
      <c r="V91" s="125" t="n"/>
      <c r="W91" s="125" t="n"/>
      <c r="X91" s="125" t="n"/>
      <c r="Y91" s="125" t="n"/>
      <c r="Z91" s="125" t="n"/>
      <c r="AA91" s="125" t="n"/>
      <c r="AB91" s="125" t="n"/>
      <c r="AC91" s="125" t="n"/>
      <c r="AD91" s="125" t="n"/>
      <c r="AE91" s="125" t="n"/>
      <c r="AF91" s="125" t="n"/>
    </row>
    <row r="92" ht="15" customHeight="1" s="99">
      <c r="A92" s="125" t="n"/>
      <c r="B92" s="125" t="n"/>
      <c r="C92" s="125" t="n"/>
      <c r="D92" s="125" t="n"/>
      <c r="E92" s="125" t="n"/>
      <c r="F92" s="125" t="n"/>
      <c r="G92" s="125" t="n"/>
      <c r="H92" s="125" t="n"/>
      <c r="I92" s="125" t="n"/>
      <c r="J92" s="125" t="n"/>
      <c r="K92" s="125" t="n"/>
      <c r="L92" s="125" t="n"/>
      <c r="M92" s="125" t="n"/>
      <c r="N92" s="125" t="n"/>
      <c r="O92" s="125" t="n"/>
      <c r="P92" s="125" t="n"/>
      <c r="Q92" s="125" t="n"/>
      <c r="R92" s="125" t="n"/>
      <c r="S92" s="125" t="n"/>
      <c r="T92" s="125" t="n"/>
      <c r="U92" s="125" t="n"/>
      <c r="V92" s="125" t="n"/>
      <c r="W92" s="125" t="n"/>
      <c r="X92" s="125" t="n"/>
      <c r="Y92" s="125" t="n"/>
      <c r="Z92" s="125" t="n"/>
      <c r="AA92" s="125" t="n"/>
      <c r="AB92" s="125" t="n"/>
      <c r="AC92" s="125" t="n"/>
      <c r="AD92" s="125" t="n"/>
      <c r="AE92" s="125" t="n"/>
      <c r="AF92" s="125" t="n"/>
    </row>
    <row r="93" ht="15" customHeight="1" s="99">
      <c r="A93" s="125" t="n"/>
      <c r="B93" s="125" t="n"/>
      <c r="C93" s="125" t="n"/>
      <c r="D93" s="125" t="n"/>
      <c r="E93" s="125" t="n"/>
      <c r="F93" s="125" t="n"/>
      <c r="G93" s="125" t="n"/>
      <c r="H93" s="125" t="n"/>
      <c r="I93" s="125" t="n"/>
      <c r="J93" s="125" t="n"/>
      <c r="K93" s="125" t="n"/>
      <c r="L93" s="125" t="n"/>
      <c r="M93" s="125" t="n"/>
      <c r="N93" s="125" t="n"/>
      <c r="O93" s="125" t="n"/>
      <c r="P93" s="125" t="n"/>
      <c r="Q93" s="125" t="n"/>
      <c r="R93" s="125" t="n"/>
      <c r="S93" s="125" t="n"/>
      <c r="T93" s="125" t="n"/>
      <c r="U93" s="125" t="n"/>
      <c r="V93" s="125" t="n"/>
      <c r="W93" s="125" t="n"/>
      <c r="X93" s="125" t="n"/>
      <c r="Y93" s="125" t="n"/>
      <c r="Z93" s="125" t="n"/>
      <c r="AA93" s="125" t="n"/>
      <c r="AB93" s="125" t="n"/>
      <c r="AC93" s="125" t="n"/>
      <c r="AD93" s="125" t="n"/>
      <c r="AE93" s="125" t="n"/>
      <c r="AF93" s="125" t="n"/>
    </row>
    <row r="94" ht="15" customHeight="1" s="99">
      <c r="A94" s="125" t="n"/>
      <c r="B94" s="125" t="n"/>
      <c r="C94" s="125" t="n"/>
      <c r="D94" s="125" t="n"/>
      <c r="E94" s="125" t="n"/>
      <c r="F94" s="125" t="n"/>
      <c r="G94" s="125" t="n"/>
      <c r="H94" s="125" t="n"/>
      <c r="I94" s="125" t="n"/>
      <c r="J94" s="125" t="n"/>
      <c r="K94" s="125" t="n"/>
      <c r="L94" s="125" t="n"/>
      <c r="M94" s="125" t="n"/>
      <c r="N94" s="125" t="n"/>
      <c r="O94" s="125" t="n"/>
      <c r="P94" s="125" t="n"/>
      <c r="Q94" s="125" t="n"/>
      <c r="R94" s="125" t="n"/>
      <c r="S94" s="125" t="n"/>
      <c r="T94" s="125" t="n"/>
      <c r="U94" s="125" t="n"/>
      <c r="V94" s="125" t="n"/>
      <c r="W94" s="125" t="n"/>
      <c r="X94" s="125" t="n"/>
      <c r="Y94" s="125" t="n"/>
      <c r="Z94" s="125" t="n"/>
      <c r="AA94" s="125" t="n"/>
      <c r="AB94" s="125" t="n"/>
      <c r="AC94" s="125" t="n"/>
      <c r="AD94" s="125" t="n"/>
      <c r="AE94" s="125" t="n"/>
      <c r="AF94" s="125" t="n"/>
    </row>
    <row r="95" ht="15" customHeight="1" s="99">
      <c r="A95" s="125" t="n"/>
      <c r="B95" s="125" t="n"/>
      <c r="C95" s="125" t="n"/>
      <c r="D95" s="125" t="n"/>
      <c r="E95" s="125" t="n"/>
      <c r="F95" s="125" t="n"/>
      <c r="G95" s="125" t="n"/>
      <c r="H95" s="125" t="n"/>
      <c r="I95" s="125" t="n"/>
      <c r="J95" s="125" t="n"/>
      <c r="K95" s="125" t="n"/>
      <c r="L95" s="125" t="n"/>
      <c r="M95" s="125" t="n"/>
      <c r="N95" s="125" t="n"/>
      <c r="O95" s="125" t="n"/>
      <c r="P95" s="125" t="n"/>
      <c r="Q95" s="125" t="n"/>
      <c r="R95" s="125" t="n"/>
      <c r="S95" s="125" t="n"/>
      <c r="T95" s="125" t="n"/>
      <c r="U95" s="125" t="n"/>
      <c r="V95" s="125" t="n"/>
      <c r="W95" s="125" t="n"/>
      <c r="X95" s="125" t="n"/>
      <c r="Y95" s="125" t="n"/>
      <c r="Z95" s="125" t="n"/>
      <c r="AA95" s="125" t="n"/>
      <c r="AB95" s="125" t="n"/>
      <c r="AC95" s="125" t="n"/>
      <c r="AD95" s="125" t="n"/>
      <c r="AE95" s="125" t="n"/>
      <c r="AF95" s="125" t="n"/>
    </row>
    <row r="96" ht="15" customHeight="1" s="99">
      <c r="A96" s="125" t="n"/>
      <c r="B96" s="125" t="n"/>
      <c r="C96" s="125" t="n"/>
      <c r="D96" s="125" t="n"/>
      <c r="E96" s="125" t="n"/>
      <c r="F96" s="125" t="n"/>
      <c r="G96" s="125" t="n"/>
      <c r="H96" s="125" t="n"/>
      <c r="I96" s="125" t="n"/>
      <c r="J96" s="125" t="n"/>
      <c r="K96" s="125" t="n"/>
      <c r="L96" s="125" t="n"/>
      <c r="M96" s="125" t="n"/>
      <c r="N96" s="125" t="n"/>
      <c r="O96" s="125" t="n"/>
      <c r="P96" s="125" t="n"/>
      <c r="Q96" s="125" t="n"/>
      <c r="R96" s="125" t="n"/>
      <c r="S96" s="125" t="n"/>
      <c r="T96" s="125" t="n"/>
      <c r="U96" s="125" t="n"/>
      <c r="V96" s="125" t="n"/>
      <c r="W96" s="125" t="n"/>
      <c r="X96" s="125" t="n"/>
      <c r="Y96" s="125" t="n"/>
      <c r="Z96" s="125" t="n"/>
      <c r="AA96" s="125" t="n"/>
      <c r="AB96" s="125" t="n"/>
      <c r="AC96" s="125" t="n"/>
      <c r="AD96" s="125" t="n"/>
      <c r="AE96" s="125" t="n"/>
      <c r="AF96" s="125" t="n"/>
    </row>
    <row r="97" ht="15" customHeight="1" s="99">
      <c r="A97" s="125" t="n"/>
      <c r="B97" s="125" t="n"/>
      <c r="C97" s="125" t="n"/>
      <c r="D97" s="125" t="n"/>
      <c r="E97" s="125" t="n"/>
      <c r="F97" s="125" t="n"/>
      <c r="G97" s="125" t="n"/>
      <c r="H97" s="125" t="n"/>
      <c r="I97" s="125" t="n"/>
      <c r="J97" s="125" t="n"/>
      <c r="K97" s="125" t="n"/>
      <c r="L97" s="125" t="n"/>
      <c r="M97" s="125" t="n"/>
      <c r="N97" s="125" t="n"/>
      <c r="O97" s="125" t="n"/>
      <c r="P97" s="125" t="n"/>
      <c r="Q97" s="125" t="n"/>
      <c r="R97" s="125" t="n"/>
      <c r="S97" s="125" t="n"/>
      <c r="T97" s="125" t="n"/>
      <c r="U97" s="125" t="n"/>
      <c r="V97" s="125" t="n"/>
      <c r="W97" s="125" t="n"/>
      <c r="X97" s="125" t="n"/>
      <c r="Y97" s="125" t="n"/>
      <c r="Z97" s="125" t="n"/>
      <c r="AA97" s="125" t="n"/>
      <c r="AB97" s="125" t="n"/>
      <c r="AC97" s="125" t="n"/>
      <c r="AD97" s="125" t="n"/>
      <c r="AE97" s="125" t="n"/>
      <c r="AF97" s="125" t="n"/>
    </row>
    <row r="98" ht="15" customHeight="1" s="99">
      <c r="A98" s="125" t="n"/>
      <c r="B98" s="125" t="n"/>
      <c r="C98" s="125" t="n"/>
      <c r="D98" s="125" t="n"/>
      <c r="E98" s="125" t="n"/>
      <c r="F98" s="125" t="n"/>
      <c r="G98" s="125" t="n"/>
      <c r="H98" s="125" t="n"/>
      <c r="I98" s="125" t="n"/>
      <c r="J98" s="125" t="n"/>
      <c r="K98" s="125" t="n"/>
      <c r="L98" s="125" t="n"/>
      <c r="M98" s="125" t="n"/>
      <c r="N98" s="125" t="n"/>
      <c r="O98" s="125" t="n"/>
      <c r="P98" s="125" t="n"/>
      <c r="Q98" s="125" t="n"/>
      <c r="R98" s="125" t="n"/>
      <c r="S98" s="125" t="n"/>
      <c r="T98" s="125" t="n"/>
      <c r="U98" s="125" t="n"/>
      <c r="V98" s="125" t="n"/>
      <c r="W98" s="125" t="n"/>
      <c r="X98" s="125" t="n"/>
      <c r="Y98" s="125" t="n"/>
      <c r="Z98" s="125" t="n"/>
      <c r="AA98" s="125" t="n"/>
      <c r="AB98" s="125" t="n"/>
      <c r="AC98" s="125" t="n"/>
      <c r="AD98" s="125" t="n"/>
      <c r="AE98" s="125" t="n"/>
      <c r="AF98" s="125" t="n"/>
    </row>
    <row r="99" ht="15" customHeight="1" s="99">
      <c r="A99" s="125" t="n"/>
      <c r="B99" s="125" t="n"/>
      <c r="C99" s="125" t="n"/>
      <c r="D99" s="125" t="n"/>
      <c r="E99" s="125" t="n"/>
      <c r="F99" s="125" t="n"/>
      <c r="G99" s="125" t="n"/>
      <c r="H99" s="125" t="n"/>
      <c r="I99" s="125" t="n"/>
      <c r="J99" s="125" t="n"/>
      <c r="K99" s="125" t="n"/>
      <c r="L99" s="125" t="n"/>
      <c r="M99" s="125" t="n"/>
      <c r="N99" s="125" t="n"/>
      <c r="O99" s="125" t="n"/>
      <c r="P99" s="125" t="n"/>
      <c r="Q99" s="125" t="n"/>
      <c r="R99" s="125" t="n"/>
      <c r="S99" s="125" t="n"/>
      <c r="T99" s="125" t="n"/>
      <c r="U99" s="125" t="n"/>
      <c r="V99" s="125" t="n"/>
      <c r="W99" s="125" t="n"/>
      <c r="X99" s="125" t="n"/>
      <c r="Y99" s="125" t="n"/>
      <c r="Z99" s="125" t="n"/>
      <c r="AA99" s="125" t="n"/>
      <c r="AB99" s="125" t="n"/>
      <c r="AC99" s="125" t="n"/>
      <c r="AD99" s="125" t="n"/>
      <c r="AE99" s="125" t="n"/>
      <c r="AF99" s="125" t="n"/>
    </row>
    <row r="100" ht="15" customHeight="1" s="99">
      <c r="A100" s="125" t="n"/>
      <c r="B100" s="125" t="n"/>
      <c r="C100" s="125" t="n"/>
      <c r="D100" s="125" t="n"/>
      <c r="E100" s="125" t="n"/>
      <c r="F100" s="125" t="n"/>
      <c r="G100" s="125" t="n"/>
      <c r="H100" s="125" t="n"/>
      <c r="I100" s="125" t="n"/>
      <c r="J100" s="125" t="n"/>
      <c r="K100" s="125" t="n"/>
      <c r="L100" s="125" t="n"/>
      <c r="M100" s="125" t="n"/>
      <c r="N100" s="125" t="n"/>
      <c r="O100" s="125" t="n"/>
      <c r="P100" s="125" t="n"/>
      <c r="Q100" s="125" t="n"/>
      <c r="R100" s="125" t="n"/>
      <c r="S100" s="125" t="n"/>
      <c r="T100" s="125" t="n"/>
      <c r="U100" s="125" t="n"/>
      <c r="V100" s="125" t="n"/>
      <c r="W100" s="125" t="n"/>
      <c r="X100" s="125" t="n"/>
      <c r="Y100" s="125" t="n"/>
      <c r="Z100" s="125" t="n"/>
      <c r="AA100" s="125" t="n"/>
      <c r="AB100" s="125" t="n"/>
      <c r="AC100" s="125" t="n"/>
      <c r="AD100" s="125" t="n"/>
      <c r="AE100" s="125" t="n"/>
      <c r="AF100" s="125" t="n"/>
    </row>
    <row r="101" ht="15" customHeight="1" s="99">
      <c r="A101" s="125" t="n"/>
      <c r="B101" s="125" t="n"/>
      <c r="C101" s="125" t="n"/>
      <c r="D101" s="125" t="n"/>
      <c r="E101" s="125" t="n"/>
      <c r="F101" s="125" t="n"/>
      <c r="G101" s="125" t="n"/>
      <c r="H101" s="125" t="n"/>
      <c r="I101" s="125" t="n"/>
      <c r="J101" s="125" t="n"/>
      <c r="K101" s="125" t="n"/>
      <c r="L101" s="125" t="n"/>
      <c r="M101" s="125" t="n"/>
      <c r="N101" s="125" t="n"/>
      <c r="O101" s="125" t="n"/>
      <c r="P101" s="125" t="n"/>
      <c r="Q101" s="125" t="n"/>
      <c r="R101" s="125" t="n"/>
      <c r="S101" s="125" t="n"/>
      <c r="T101" s="125" t="n"/>
      <c r="U101" s="125" t="n"/>
      <c r="V101" s="125" t="n"/>
      <c r="W101" s="125" t="n"/>
      <c r="X101" s="125" t="n"/>
      <c r="Y101" s="125" t="n"/>
      <c r="Z101" s="125" t="n"/>
      <c r="AA101" s="125" t="n"/>
      <c r="AB101" s="125" t="n"/>
      <c r="AC101" s="125" t="n"/>
      <c r="AD101" s="125" t="n"/>
      <c r="AE101" s="125" t="n"/>
      <c r="AF101" s="125" t="n"/>
    </row>
    <row r="102" ht="15" customHeight="1" s="99">
      <c r="A102" s="125" t="n"/>
      <c r="B102" s="125" t="n"/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5" t="n"/>
      <c r="L102" s="125" t="n"/>
      <c r="M102" s="125" t="n"/>
      <c r="N102" s="125" t="n"/>
      <c r="O102" s="125" t="n"/>
      <c r="P102" s="125" t="n"/>
      <c r="Q102" s="125" t="n"/>
      <c r="R102" s="125" t="n"/>
      <c r="S102" s="125" t="n"/>
      <c r="T102" s="125" t="n"/>
      <c r="U102" s="125" t="n"/>
      <c r="V102" s="125" t="n"/>
      <c r="W102" s="125" t="n"/>
      <c r="X102" s="125" t="n"/>
      <c r="Y102" s="125" t="n"/>
      <c r="Z102" s="125" t="n"/>
      <c r="AA102" s="125" t="n"/>
      <c r="AB102" s="125" t="n"/>
      <c r="AC102" s="125" t="n"/>
      <c r="AD102" s="125" t="n"/>
      <c r="AE102" s="125" t="n"/>
      <c r="AF102" s="125" t="n"/>
    </row>
    <row r="103" ht="15" customHeight="1" s="99">
      <c r="A103" s="125" t="n"/>
      <c r="B103" s="125" t="n"/>
      <c r="C103" s="125" t="n"/>
      <c r="D103" s="125" t="n"/>
      <c r="E103" s="125" t="n"/>
      <c r="F103" s="125" t="n"/>
      <c r="G103" s="125" t="n"/>
      <c r="H103" s="125" t="n"/>
      <c r="I103" s="125" t="n"/>
      <c r="J103" s="125" t="n"/>
      <c r="K103" s="125" t="n"/>
      <c r="L103" s="125" t="n"/>
      <c r="M103" s="125" t="n"/>
      <c r="N103" s="125" t="n"/>
      <c r="O103" s="125" t="n"/>
      <c r="P103" s="125" t="n"/>
      <c r="Q103" s="125" t="n"/>
      <c r="R103" s="125" t="n"/>
      <c r="S103" s="125" t="n"/>
      <c r="T103" s="125" t="n"/>
      <c r="U103" s="125" t="n"/>
      <c r="V103" s="125" t="n"/>
      <c r="W103" s="125" t="n"/>
      <c r="X103" s="125" t="n"/>
      <c r="Y103" s="125" t="n"/>
      <c r="Z103" s="125" t="n"/>
      <c r="AA103" s="125" t="n"/>
      <c r="AB103" s="125" t="n"/>
      <c r="AC103" s="125" t="n"/>
      <c r="AD103" s="125" t="n"/>
      <c r="AE103" s="125" t="n"/>
      <c r="AF103" s="125" t="n"/>
    </row>
    <row r="104" ht="15" customHeight="1" s="99">
      <c r="A104" s="125" t="n"/>
      <c r="B104" s="125" t="n"/>
      <c r="C104" s="125" t="n"/>
      <c r="D104" s="125" t="n"/>
      <c r="E104" s="125" t="n"/>
      <c r="F104" s="125" t="n"/>
      <c r="G104" s="125" t="n"/>
      <c r="H104" s="125" t="n"/>
      <c r="I104" s="125" t="n"/>
      <c r="J104" s="125" t="n"/>
      <c r="K104" s="125" t="n"/>
      <c r="L104" s="125" t="n"/>
      <c r="M104" s="125" t="n"/>
      <c r="N104" s="125" t="n"/>
      <c r="O104" s="125" t="n"/>
      <c r="P104" s="125" t="n"/>
      <c r="Q104" s="125" t="n"/>
      <c r="R104" s="125" t="n"/>
      <c r="S104" s="125" t="n"/>
      <c r="T104" s="125" t="n"/>
      <c r="U104" s="125" t="n"/>
      <c r="V104" s="125" t="n"/>
      <c r="W104" s="125" t="n"/>
      <c r="X104" s="125" t="n"/>
      <c r="Y104" s="125" t="n"/>
      <c r="Z104" s="125" t="n"/>
      <c r="AA104" s="125" t="n"/>
      <c r="AB104" s="125" t="n"/>
      <c r="AC104" s="125" t="n"/>
      <c r="AD104" s="125" t="n"/>
      <c r="AE104" s="125" t="n"/>
      <c r="AF104" s="125" t="n"/>
    </row>
    <row r="105" ht="15" customHeight="1" s="99">
      <c r="A105" s="125" t="n"/>
      <c r="B105" s="125" t="n"/>
      <c r="C105" s="125" t="n"/>
      <c r="D105" s="125" t="n"/>
      <c r="E105" s="125" t="n"/>
      <c r="F105" s="125" t="n"/>
      <c r="G105" s="125" t="n"/>
      <c r="H105" s="125" t="n"/>
      <c r="I105" s="125" t="n"/>
      <c r="J105" s="125" t="n"/>
      <c r="K105" s="125" t="n"/>
      <c r="L105" s="125" t="n"/>
      <c r="M105" s="125" t="n"/>
      <c r="N105" s="125" t="n"/>
      <c r="O105" s="125" t="n"/>
      <c r="P105" s="125" t="n"/>
      <c r="Q105" s="125" t="n"/>
      <c r="R105" s="125" t="n"/>
      <c r="S105" s="125" t="n"/>
      <c r="T105" s="125" t="n"/>
      <c r="U105" s="125" t="n"/>
      <c r="V105" s="125" t="n"/>
      <c r="W105" s="125" t="n"/>
      <c r="X105" s="125" t="n"/>
      <c r="Y105" s="125" t="n"/>
      <c r="Z105" s="125" t="n"/>
      <c r="AA105" s="125" t="n"/>
      <c r="AB105" s="125" t="n"/>
      <c r="AC105" s="125" t="n"/>
      <c r="AD105" s="125" t="n"/>
      <c r="AE105" s="125" t="n"/>
      <c r="AF105" s="125" t="n"/>
    </row>
    <row r="106" ht="15" customHeight="1" s="99">
      <c r="A106" s="125" t="n"/>
      <c r="B106" s="125" t="n"/>
      <c r="C106" s="125" t="n"/>
      <c r="D106" s="125" t="n"/>
      <c r="E106" s="125" t="n"/>
      <c r="F106" s="125" t="n"/>
      <c r="G106" s="125" t="n"/>
      <c r="H106" s="125" t="n"/>
      <c r="I106" s="125" t="n"/>
      <c r="J106" s="125" t="n"/>
      <c r="K106" s="125" t="n"/>
      <c r="L106" s="125" t="n"/>
      <c r="M106" s="125" t="n"/>
      <c r="N106" s="125" t="n"/>
      <c r="O106" s="125" t="n"/>
      <c r="P106" s="125" t="n"/>
      <c r="Q106" s="125" t="n"/>
      <c r="R106" s="125" t="n"/>
      <c r="S106" s="125" t="n"/>
      <c r="T106" s="125" t="n"/>
      <c r="U106" s="125" t="n"/>
      <c r="V106" s="125" t="n"/>
      <c r="W106" s="125" t="n"/>
      <c r="X106" s="125" t="n"/>
      <c r="Y106" s="125" t="n"/>
      <c r="Z106" s="125" t="n"/>
      <c r="AA106" s="125" t="n"/>
      <c r="AB106" s="125" t="n"/>
      <c r="AC106" s="125" t="n"/>
      <c r="AD106" s="125" t="n"/>
      <c r="AE106" s="125" t="n"/>
      <c r="AF106" s="125" t="n"/>
    </row>
    <row r="107" ht="15" customHeight="1" s="99">
      <c r="A107" s="125" t="n"/>
      <c r="B107" s="125" t="n"/>
      <c r="C107" s="125" t="n"/>
      <c r="D107" s="125" t="n"/>
      <c r="E107" s="125" t="n"/>
      <c r="F107" s="125" t="n"/>
      <c r="G107" s="125" t="n"/>
      <c r="H107" s="125" t="n"/>
      <c r="I107" s="125" t="n"/>
      <c r="J107" s="125" t="n"/>
      <c r="K107" s="125" t="n"/>
      <c r="L107" s="125" t="n"/>
      <c r="M107" s="125" t="n"/>
      <c r="N107" s="125" t="n"/>
      <c r="O107" s="125" t="n"/>
      <c r="P107" s="125" t="n"/>
      <c r="Q107" s="125" t="n"/>
      <c r="R107" s="125" t="n"/>
      <c r="S107" s="125" t="n"/>
      <c r="T107" s="125" t="n"/>
      <c r="U107" s="125" t="n"/>
      <c r="V107" s="125" t="n"/>
      <c r="W107" s="125" t="n"/>
      <c r="X107" s="125" t="n"/>
      <c r="Y107" s="125" t="n"/>
      <c r="Z107" s="125" t="n"/>
      <c r="AA107" s="125" t="n"/>
      <c r="AB107" s="125" t="n"/>
      <c r="AC107" s="125" t="n"/>
      <c r="AD107" s="125" t="n"/>
      <c r="AE107" s="125" t="n"/>
      <c r="AF107" s="125" t="n"/>
    </row>
    <row r="108" ht="15" customHeight="1" s="99">
      <c r="A108" s="125" t="n"/>
      <c r="B108" s="125" t="n"/>
      <c r="C108" s="125" t="n"/>
      <c r="D108" s="125" t="n"/>
      <c r="E108" s="125" t="n"/>
      <c r="F108" s="125" t="n"/>
      <c r="G108" s="125" t="n"/>
      <c r="H108" s="125" t="n"/>
      <c r="I108" s="125" t="n"/>
      <c r="J108" s="125" t="n"/>
      <c r="K108" s="125" t="n"/>
      <c r="L108" s="125" t="n"/>
      <c r="M108" s="125" t="n"/>
      <c r="N108" s="125" t="n"/>
      <c r="O108" s="125" t="n"/>
      <c r="P108" s="125" t="n"/>
      <c r="Q108" s="125" t="n"/>
      <c r="R108" s="125" t="n"/>
      <c r="S108" s="125" t="n"/>
      <c r="T108" s="125" t="n"/>
      <c r="U108" s="125" t="n"/>
      <c r="V108" s="125" t="n"/>
      <c r="W108" s="125" t="n"/>
      <c r="X108" s="125" t="n"/>
      <c r="Y108" s="125" t="n"/>
      <c r="Z108" s="125" t="n"/>
      <c r="AA108" s="125" t="n"/>
      <c r="AB108" s="125" t="n"/>
      <c r="AC108" s="125" t="n"/>
      <c r="AD108" s="125" t="n"/>
      <c r="AE108" s="125" t="n"/>
      <c r="AF108" s="125" t="n"/>
    </row>
    <row r="109" ht="15" customHeight="1" s="99">
      <c r="A109" s="125" t="n"/>
      <c r="B109" s="125" t="n"/>
      <c r="C109" s="125" t="n"/>
      <c r="D109" s="125" t="n"/>
      <c r="E109" s="125" t="n"/>
      <c r="F109" s="125" t="n"/>
      <c r="G109" s="125" t="n"/>
      <c r="H109" s="125" t="n"/>
      <c r="I109" s="125" t="n"/>
      <c r="J109" s="125" t="n"/>
      <c r="K109" s="125" t="n"/>
      <c r="L109" s="125" t="n"/>
      <c r="M109" s="125" t="n"/>
      <c r="N109" s="125" t="n"/>
      <c r="O109" s="125" t="n"/>
      <c r="P109" s="125" t="n"/>
      <c r="Q109" s="125" t="n"/>
      <c r="R109" s="125" t="n"/>
      <c r="S109" s="125" t="n"/>
      <c r="T109" s="125" t="n"/>
      <c r="U109" s="125" t="n"/>
      <c r="V109" s="125" t="n"/>
      <c r="W109" s="125" t="n"/>
      <c r="X109" s="125" t="n"/>
      <c r="Y109" s="125" t="n"/>
      <c r="Z109" s="125" t="n"/>
      <c r="AA109" s="125" t="n"/>
      <c r="AB109" s="125" t="n"/>
      <c r="AC109" s="125" t="n"/>
      <c r="AD109" s="125" t="n"/>
      <c r="AE109" s="125" t="n"/>
      <c r="AF109" s="125" t="n"/>
    </row>
    <row r="110" ht="15" customHeight="1" s="99">
      <c r="A110" s="125" t="n"/>
      <c r="B110" s="125" t="n"/>
      <c r="C110" s="125" t="n"/>
      <c r="D110" s="125" t="n"/>
      <c r="E110" s="125" t="n"/>
      <c r="F110" s="125" t="n"/>
      <c r="G110" s="125" t="n"/>
      <c r="H110" s="125" t="n"/>
      <c r="I110" s="125" t="n"/>
      <c r="J110" s="125" t="n"/>
      <c r="K110" s="125" t="n"/>
      <c r="L110" s="125" t="n"/>
      <c r="M110" s="125" t="n"/>
      <c r="N110" s="125" t="n"/>
      <c r="O110" s="125" t="n"/>
      <c r="P110" s="125" t="n"/>
      <c r="Q110" s="125" t="n"/>
      <c r="R110" s="125" t="n"/>
      <c r="S110" s="125" t="n"/>
      <c r="T110" s="125" t="n"/>
      <c r="U110" s="125" t="n"/>
      <c r="V110" s="125" t="n"/>
      <c r="W110" s="125" t="n"/>
      <c r="X110" s="125" t="n"/>
      <c r="Y110" s="125" t="n"/>
      <c r="Z110" s="125" t="n"/>
      <c r="AA110" s="125" t="n"/>
      <c r="AB110" s="125" t="n"/>
      <c r="AC110" s="125" t="n"/>
      <c r="AD110" s="125" t="n"/>
      <c r="AE110" s="125" t="n"/>
      <c r="AF110" s="125" t="n"/>
    </row>
    <row r="111" ht="15" customHeight="1" s="99">
      <c r="A111" s="125" t="n"/>
      <c r="B111" s="125" t="n"/>
      <c r="C111" s="125" t="n"/>
      <c r="D111" s="125" t="n"/>
      <c r="E111" s="125" t="n"/>
      <c r="F111" s="125" t="n"/>
      <c r="G111" s="125" t="n"/>
      <c r="H111" s="125" t="n"/>
      <c r="I111" s="125" t="n"/>
      <c r="J111" s="125" t="n"/>
      <c r="K111" s="125" t="n"/>
      <c r="L111" s="125" t="n"/>
      <c r="M111" s="125" t="n"/>
      <c r="N111" s="125" t="n"/>
      <c r="O111" s="125" t="n"/>
      <c r="P111" s="125" t="n"/>
      <c r="Q111" s="125" t="n"/>
      <c r="R111" s="125" t="n"/>
      <c r="S111" s="125" t="n"/>
      <c r="T111" s="125" t="n"/>
      <c r="U111" s="125" t="n"/>
      <c r="V111" s="125" t="n"/>
      <c r="W111" s="125" t="n"/>
      <c r="X111" s="125" t="n"/>
      <c r="Y111" s="125" t="n"/>
      <c r="Z111" s="125" t="n"/>
      <c r="AA111" s="125" t="n"/>
      <c r="AB111" s="125" t="n"/>
      <c r="AC111" s="125" t="n"/>
      <c r="AD111" s="125" t="n"/>
      <c r="AE111" s="125" t="n"/>
      <c r="AF111" s="125" t="n"/>
    </row>
    <row r="112" ht="15" customHeight="1" s="99">
      <c r="A112" s="125" t="n"/>
      <c r="B112" s="125" t="n"/>
      <c r="C112" s="125" t="n"/>
      <c r="D112" s="125" t="n"/>
      <c r="E112" s="125" t="n"/>
      <c r="F112" s="125" t="n"/>
      <c r="G112" s="125" t="n"/>
      <c r="H112" s="125" t="n"/>
      <c r="I112" s="125" t="n"/>
      <c r="J112" s="125" t="n"/>
      <c r="K112" s="125" t="n"/>
      <c r="L112" s="125" t="n"/>
      <c r="M112" s="125" t="n"/>
      <c r="N112" s="125" t="n"/>
      <c r="O112" s="125" t="n"/>
      <c r="P112" s="125" t="n"/>
      <c r="Q112" s="125" t="n"/>
      <c r="R112" s="125" t="n"/>
      <c r="S112" s="125" t="n"/>
      <c r="T112" s="125" t="n"/>
      <c r="U112" s="125" t="n"/>
      <c r="V112" s="125" t="n"/>
      <c r="W112" s="125" t="n"/>
      <c r="X112" s="125" t="n"/>
      <c r="Y112" s="125" t="n"/>
      <c r="Z112" s="125" t="n"/>
      <c r="AA112" s="125" t="n"/>
      <c r="AB112" s="125" t="n"/>
      <c r="AC112" s="125" t="n"/>
      <c r="AD112" s="125" t="n"/>
      <c r="AE112" s="125" t="n"/>
      <c r="AF112" s="125" t="n"/>
    </row>
    <row r="113" ht="15" customHeight="1" s="99">
      <c r="A113" s="125" t="n"/>
      <c r="B113" s="125" t="n"/>
      <c r="C113" s="125" t="n"/>
      <c r="D113" s="125" t="n"/>
      <c r="E113" s="125" t="n"/>
      <c r="F113" s="125" t="n"/>
      <c r="G113" s="125" t="n"/>
      <c r="H113" s="125" t="n"/>
      <c r="I113" s="125" t="n"/>
      <c r="J113" s="125" t="n"/>
      <c r="K113" s="125" t="n"/>
      <c r="L113" s="125" t="n"/>
      <c r="M113" s="125" t="n"/>
      <c r="N113" s="125" t="n"/>
      <c r="O113" s="125" t="n"/>
      <c r="P113" s="125" t="n"/>
      <c r="Q113" s="125" t="n"/>
      <c r="R113" s="125" t="n"/>
      <c r="S113" s="125" t="n"/>
      <c r="T113" s="125" t="n"/>
      <c r="U113" s="125" t="n"/>
      <c r="V113" s="125" t="n"/>
      <c r="W113" s="125" t="n"/>
      <c r="X113" s="125" t="n"/>
      <c r="Y113" s="125" t="n"/>
      <c r="Z113" s="125" t="n"/>
      <c r="AA113" s="125" t="n"/>
      <c r="AB113" s="125" t="n"/>
      <c r="AC113" s="125" t="n"/>
      <c r="AD113" s="125" t="n"/>
      <c r="AE113" s="125" t="n"/>
      <c r="AF113" s="125" t="n"/>
    </row>
    <row r="114" ht="15" customHeight="1" s="99">
      <c r="A114" s="125" t="n"/>
      <c r="B114" s="125" t="n"/>
      <c r="C114" s="125" t="n"/>
      <c r="D114" s="125" t="n"/>
      <c r="E114" s="125" t="n"/>
      <c r="F114" s="125" t="n"/>
      <c r="G114" s="125" t="n"/>
      <c r="H114" s="125" t="n"/>
      <c r="I114" s="125" t="n"/>
      <c r="J114" s="125" t="n"/>
      <c r="K114" s="125" t="n"/>
      <c r="L114" s="125" t="n"/>
      <c r="M114" s="125" t="n"/>
      <c r="N114" s="125" t="n"/>
      <c r="O114" s="125" t="n"/>
      <c r="P114" s="125" t="n"/>
      <c r="Q114" s="125" t="n"/>
      <c r="R114" s="125" t="n"/>
      <c r="S114" s="125" t="n"/>
      <c r="T114" s="125" t="n"/>
      <c r="U114" s="125" t="n"/>
      <c r="V114" s="125" t="n"/>
      <c r="W114" s="125" t="n"/>
      <c r="X114" s="125" t="n"/>
      <c r="Y114" s="125" t="n"/>
      <c r="Z114" s="125" t="n"/>
      <c r="AA114" s="125" t="n"/>
      <c r="AB114" s="125" t="n"/>
      <c r="AC114" s="125" t="n"/>
      <c r="AD114" s="125" t="n"/>
      <c r="AE114" s="125" t="n"/>
      <c r="AF114" s="125" t="n"/>
    </row>
    <row r="115" ht="15" customHeight="1" s="99">
      <c r="A115" s="125" t="n"/>
      <c r="B115" s="125" t="n"/>
      <c r="C115" s="125" t="n"/>
      <c r="D115" s="125" t="n"/>
      <c r="E115" s="125" t="n"/>
      <c r="F115" s="125" t="n"/>
      <c r="G115" s="125" t="n"/>
      <c r="H115" s="125" t="n"/>
      <c r="I115" s="125" t="n"/>
      <c r="J115" s="125" t="n"/>
      <c r="K115" s="125" t="n"/>
      <c r="L115" s="125" t="n"/>
      <c r="M115" s="125" t="n"/>
      <c r="N115" s="125" t="n"/>
      <c r="O115" s="125" t="n"/>
      <c r="P115" s="125" t="n"/>
      <c r="Q115" s="125" t="n"/>
      <c r="R115" s="125" t="n"/>
      <c r="S115" s="125" t="n"/>
      <c r="T115" s="125" t="n"/>
      <c r="U115" s="125" t="n"/>
      <c r="V115" s="125" t="n"/>
      <c r="W115" s="125" t="n"/>
      <c r="X115" s="125" t="n"/>
      <c r="Y115" s="125" t="n"/>
      <c r="Z115" s="125" t="n"/>
      <c r="AA115" s="125" t="n"/>
      <c r="AB115" s="125" t="n"/>
      <c r="AC115" s="125" t="n"/>
      <c r="AD115" s="125" t="n"/>
      <c r="AE115" s="125" t="n"/>
      <c r="AF115" s="125" t="n"/>
    </row>
    <row r="116" ht="15" customHeight="1" s="99">
      <c r="A116" s="125" t="n"/>
      <c r="B116" s="125" t="n"/>
      <c r="C116" s="125" t="n"/>
      <c r="D116" s="125" t="n"/>
      <c r="E116" s="125" t="n"/>
      <c r="F116" s="125" t="n"/>
      <c r="G116" s="125" t="n"/>
      <c r="H116" s="125" t="n"/>
      <c r="I116" s="125" t="n"/>
      <c r="J116" s="125" t="n"/>
      <c r="K116" s="125" t="n"/>
      <c r="L116" s="125" t="n"/>
      <c r="M116" s="125" t="n"/>
      <c r="N116" s="125" t="n"/>
      <c r="O116" s="125" t="n"/>
      <c r="P116" s="125" t="n"/>
      <c r="Q116" s="125" t="n"/>
      <c r="R116" s="125" t="n"/>
      <c r="S116" s="125" t="n"/>
      <c r="T116" s="125" t="n"/>
      <c r="U116" s="125" t="n"/>
      <c r="V116" s="125" t="n"/>
      <c r="W116" s="125" t="n"/>
      <c r="X116" s="125" t="n"/>
      <c r="Y116" s="125" t="n"/>
      <c r="Z116" s="125" t="n"/>
      <c r="AA116" s="125" t="n"/>
      <c r="AB116" s="125" t="n"/>
      <c r="AC116" s="125" t="n"/>
      <c r="AD116" s="125" t="n"/>
      <c r="AE116" s="125" t="n"/>
      <c r="AF116" s="125" t="n"/>
    </row>
    <row r="117" ht="15" customHeight="1" s="99">
      <c r="A117" s="125" t="n"/>
      <c r="B117" s="125" t="n"/>
      <c r="C117" s="125" t="n"/>
      <c r="D117" s="125" t="n"/>
      <c r="E117" s="125" t="n"/>
      <c r="F117" s="125" t="n"/>
      <c r="G117" s="125" t="n"/>
      <c r="H117" s="125" t="n"/>
      <c r="I117" s="125" t="n"/>
      <c r="J117" s="125" t="n"/>
      <c r="K117" s="125" t="n"/>
      <c r="L117" s="125" t="n"/>
      <c r="M117" s="125" t="n"/>
      <c r="N117" s="125" t="n"/>
      <c r="O117" s="125" t="n"/>
      <c r="P117" s="125" t="n"/>
      <c r="Q117" s="125" t="n"/>
      <c r="R117" s="125" t="n"/>
      <c r="S117" s="125" t="n"/>
      <c r="T117" s="125" t="n"/>
      <c r="U117" s="125" t="n"/>
      <c r="V117" s="125" t="n"/>
      <c r="W117" s="125" t="n"/>
      <c r="X117" s="125" t="n"/>
      <c r="Y117" s="125" t="n"/>
      <c r="Z117" s="125" t="n"/>
      <c r="AA117" s="125" t="n"/>
      <c r="AB117" s="125" t="n"/>
      <c r="AC117" s="125" t="n"/>
      <c r="AD117" s="125" t="n"/>
      <c r="AE117" s="125" t="n"/>
      <c r="AF117" s="125" t="n"/>
    </row>
    <row r="118" ht="15" customHeight="1" s="99">
      <c r="A118" s="125" t="n"/>
      <c r="B118" s="125" t="n"/>
      <c r="C118" s="125" t="n"/>
      <c r="D118" s="125" t="n"/>
      <c r="E118" s="125" t="n"/>
      <c r="F118" s="125" t="n"/>
      <c r="G118" s="125" t="n"/>
      <c r="H118" s="125" t="n"/>
      <c r="I118" s="125" t="n"/>
      <c r="J118" s="125" t="n"/>
      <c r="K118" s="125" t="n"/>
      <c r="L118" s="125" t="n"/>
      <c r="M118" s="125" t="n"/>
      <c r="N118" s="125" t="n"/>
      <c r="O118" s="125" t="n"/>
      <c r="P118" s="125" t="n"/>
      <c r="Q118" s="125" t="n"/>
      <c r="R118" s="125" t="n"/>
      <c r="S118" s="125" t="n"/>
      <c r="T118" s="125" t="n"/>
      <c r="U118" s="125" t="n"/>
      <c r="V118" s="125" t="n"/>
      <c r="W118" s="125" t="n"/>
      <c r="X118" s="125" t="n"/>
      <c r="Y118" s="125" t="n"/>
      <c r="Z118" s="125" t="n"/>
      <c r="AA118" s="125" t="n"/>
      <c r="AB118" s="125" t="n"/>
      <c r="AC118" s="125" t="n"/>
      <c r="AD118" s="125" t="n"/>
      <c r="AE118" s="125" t="n"/>
      <c r="AF118" s="125" t="n"/>
    </row>
    <row r="119" ht="15" customHeight="1" s="99">
      <c r="A119" s="125" t="n"/>
      <c r="B119" s="125" t="n"/>
      <c r="C119" s="125" t="n"/>
      <c r="D119" s="125" t="n"/>
      <c r="E119" s="125" t="n"/>
      <c r="F119" s="125" t="n"/>
      <c r="G119" s="125" t="n"/>
      <c r="H119" s="125" t="n"/>
      <c r="I119" s="125" t="n"/>
      <c r="J119" s="125" t="n"/>
      <c r="K119" s="125" t="n"/>
      <c r="L119" s="125" t="n"/>
      <c r="M119" s="125" t="n"/>
      <c r="N119" s="125" t="n"/>
      <c r="O119" s="125" t="n"/>
      <c r="P119" s="125" t="n"/>
      <c r="Q119" s="125" t="n"/>
      <c r="R119" s="125" t="n"/>
      <c r="S119" s="125" t="n"/>
      <c r="T119" s="125" t="n"/>
      <c r="U119" s="125" t="n"/>
      <c r="V119" s="125" t="n"/>
      <c r="W119" s="125" t="n"/>
      <c r="X119" s="125" t="n"/>
      <c r="Y119" s="125" t="n"/>
      <c r="Z119" s="125" t="n"/>
      <c r="AA119" s="125" t="n"/>
      <c r="AB119" s="125" t="n"/>
      <c r="AC119" s="125" t="n"/>
      <c r="AD119" s="125" t="n"/>
      <c r="AE119" s="125" t="n"/>
      <c r="AF119" s="125" t="n"/>
    </row>
    <row r="120" ht="15" customHeight="1" s="99">
      <c r="A120" s="125" t="n"/>
      <c r="B120" s="125" t="n"/>
      <c r="C120" s="125" t="n"/>
      <c r="D120" s="125" t="n"/>
      <c r="E120" s="125" t="n"/>
      <c r="F120" s="125" t="n"/>
      <c r="G120" s="125" t="n"/>
      <c r="H120" s="125" t="n"/>
      <c r="I120" s="125" t="n"/>
      <c r="J120" s="125" t="n"/>
      <c r="K120" s="125" t="n"/>
      <c r="L120" s="125" t="n"/>
      <c r="M120" s="125" t="n"/>
      <c r="N120" s="125" t="n"/>
      <c r="O120" s="125" t="n"/>
      <c r="P120" s="125" t="n"/>
      <c r="Q120" s="125" t="n"/>
      <c r="R120" s="125" t="n"/>
      <c r="S120" s="125" t="n"/>
      <c r="T120" s="125" t="n"/>
      <c r="U120" s="125" t="n"/>
      <c r="V120" s="125" t="n"/>
      <c r="W120" s="125" t="n"/>
      <c r="X120" s="125" t="n"/>
      <c r="Y120" s="125" t="n"/>
      <c r="Z120" s="125" t="n"/>
      <c r="AA120" s="125" t="n"/>
      <c r="AB120" s="125" t="n"/>
      <c r="AC120" s="125" t="n"/>
      <c r="AD120" s="125" t="n"/>
      <c r="AE120" s="125" t="n"/>
      <c r="AF120" s="125" t="n"/>
    </row>
  </sheetData>
  <mergeCells count="2">
    <mergeCell ref="A2:H2"/>
    <mergeCell ref="A1:H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30" customWidth="1" style="99" min="1" max="1"/>
    <col width="12" customWidth="1" style="99" min="2" max="2"/>
    <col width="48" customWidth="1" style="99" min="3" max="3"/>
    <col width="64" customWidth="1" style="99" min="4" max="4"/>
  </cols>
  <sheetData>
    <row r="1" ht="32" customHeight="1" s="99">
      <c r="A1" s="95" t="inlineStr">
        <is>
          <t>ASF Real Worked Example - Agentic System Instance Assessment</t>
        </is>
      </c>
      <c r="B1" s="1" t="n"/>
      <c r="C1" s="1" t="n"/>
      <c r="D1" s="1" t="n"/>
      <c r="E1" s="142" t="n"/>
      <c r="F1" s="142" t="n"/>
      <c r="G1" s="142" t="n"/>
      <c r="H1" s="142" t="n"/>
    </row>
    <row r="2" ht="18" customHeight="1" s="99">
      <c r="A2" s="96" t="inlineStr">
        <is>
          <t>Representative financial-services client-servicing pattern; client, vendor, and architecture identifiers generalized.</t>
        </is>
      </c>
      <c r="B2" s="1" t="n"/>
      <c r="C2" s="1" t="n"/>
      <c r="D2" s="1" t="n"/>
      <c r="E2" s="142" t="n"/>
      <c r="F2" s="142" t="n"/>
      <c r="G2" s="142" t="n"/>
      <c r="H2" s="142" t="n"/>
    </row>
    <row r="3" ht="15" customHeight="1" s="99">
      <c r="A3" s="146" t="n"/>
      <c r="B3" s="146" t="n"/>
      <c r="C3" s="146" t="n"/>
      <c r="D3" s="146" t="n"/>
      <c r="E3" s="142" t="n"/>
      <c r="F3" s="142" t="n"/>
      <c r="G3" s="142" t="n"/>
      <c r="H3" s="142" t="n"/>
    </row>
    <row r="4" ht="22" customHeight="1" s="99">
      <c r="A4" s="89" t="inlineStr">
        <is>
          <t>Metric</t>
        </is>
      </c>
      <c r="B4" s="89" t="inlineStr">
        <is>
          <t>Value</t>
        </is>
      </c>
      <c r="C4" s="97" t="inlineStr">
        <is>
          <t>Interpretation</t>
        </is>
      </c>
      <c r="D4" s="1" t="n"/>
      <c r="E4" s="142" t="n"/>
      <c r="F4" s="142" t="n"/>
      <c r="G4" s="142" t="n"/>
      <c r="H4" s="142" t="n"/>
    </row>
    <row r="5" ht="22" customHeight="1" s="99">
      <c r="A5" s="146" t="inlineStr">
        <is>
          <t>AFI</t>
        </is>
      </c>
      <c r="B5" s="146" t="n">
        <v>60</v>
      </c>
      <c r="C5" s="96" t="inlineStr">
        <is>
          <t>Moderate-high force because the agent can touch regulated client and financial-servicing workflows.</t>
        </is>
      </c>
      <c r="D5" s="1" t="n"/>
      <c r="E5" s="142" t="n"/>
      <c r="F5" s="142" t="n"/>
      <c r="G5" s="142" t="n"/>
      <c r="H5" s="142" t="n"/>
    </row>
    <row r="6" ht="22" customHeight="1" s="99">
      <c r="A6" s="146" t="inlineStr">
        <is>
          <t>EGI</t>
        </is>
      </c>
      <c r="B6" s="146" t="n">
        <v>66</v>
      </c>
      <c r="C6" s="96" t="inlineStr">
        <is>
          <t>Meaningful gravity: strong identity, authorization, and runtime policy; weaker runtime assurance and recovery evidence.</t>
        </is>
      </c>
      <c r="D6" s="1" t="n"/>
      <c r="E6" s="142" t="n"/>
      <c r="F6" s="142" t="n"/>
      <c r="G6" s="142" t="n"/>
      <c r="H6" s="142" t="n"/>
    </row>
    <row r="7" ht="22" customHeight="1" s="99">
      <c r="A7" s="146" t="inlineStr">
        <is>
          <t>SMI</t>
        </is>
      </c>
      <c r="B7" s="146" t="n">
        <v>6</v>
      </c>
      <c r="C7" s="96" t="inlineStr">
        <is>
          <t>Edge Orbit: positive but thin stability margin.</t>
        </is>
      </c>
      <c r="D7" s="1" t="n"/>
      <c r="E7" s="142" t="n"/>
      <c r="F7" s="142" t="n"/>
      <c r="G7" s="142" t="n"/>
      <c r="H7" s="142" t="n"/>
    </row>
    <row r="8" ht="22" customHeight="1" s="99">
      <c r="A8" s="146" t="inlineStr">
        <is>
          <t>Deployment Decision</t>
        </is>
      </c>
      <c r="B8" s="146" t="inlineStr">
        <is>
          <t>Pilot / limited production only</t>
        </is>
      </c>
      <c r="C8" s="96" t="inlineStr">
        <is>
          <t>Do not expand autonomy until runtime assurance, audit-grade decision provenance, and recovery evidence improve.</t>
        </is>
      </c>
      <c r="D8" s="1" t="n"/>
      <c r="E8" s="142" t="n"/>
      <c r="F8" s="142" t="n"/>
      <c r="G8" s="142" t="n"/>
      <c r="H8" s="142" t="n"/>
    </row>
    <row r="9" ht="15" customHeight="1" s="99">
      <c r="A9" s="146" t="n"/>
      <c r="B9" s="146" t="n"/>
      <c r="C9" s="146" t="n"/>
      <c r="D9" s="146" t="n"/>
      <c r="E9" s="142" t="n"/>
      <c r="F9" s="142" t="n"/>
      <c r="G9" s="142" t="n"/>
      <c r="H9" s="142" t="n"/>
    </row>
    <row r="10" ht="34" customHeight="1" s="99">
      <c r="A10" s="89" t="inlineStr">
        <is>
          <t>ABOM Category</t>
        </is>
      </c>
      <c r="B10" s="97" t="inlineStr">
        <is>
          <t>Anonymized Contents</t>
        </is>
      </c>
      <c r="C10" s="1" t="n"/>
      <c r="D10" s="1" t="n"/>
      <c r="E10" s="142" t="n"/>
      <c r="F10" s="142" t="n"/>
      <c r="G10" s="142" t="n"/>
      <c r="H10" s="142" t="n"/>
    </row>
    <row r="11" ht="34" customHeight="1" s="99">
      <c r="A11" s="146" t="inlineStr">
        <is>
          <t>Agent purpose</t>
        </is>
      </c>
      <c r="B11" s="96" t="inlineStr">
        <is>
          <t>Interpret client-servicing requests, retrieve client context, prepare or execute servicing actions, and route high-impact requests for advisor approval.</t>
        </is>
      </c>
      <c r="C11" s="1" t="n"/>
      <c r="D11" s="1" t="n"/>
      <c r="E11" s="142" t="n"/>
      <c r="F11" s="142" t="n"/>
      <c r="G11" s="142" t="n"/>
      <c r="H11" s="142" t="n"/>
    </row>
    <row r="12" ht="34" customHeight="1" s="99">
      <c r="A12" s="146" t="inlineStr">
        <is>
          <t>Runtime</t>
        </is>
      </c>
      <c r="B12" s="96" t="inlineStr">
        <is>
          <t>Enterprise agent runtime integrated with bounded servicing-action catalog, tool broker, API gateway, and client-servicing workflow.</t>
        </is>
      </c>
      <c r="C12" s="1" t="n"/>
      <c r="D12" s="1" t="n"/>
      <c r="E12" s="142" t="n"/>
      <c r="F12" s="142" t="n"/>
      <c r="G12" s="142" t="n"/>
      <c r="H12" s="142" t="n"/>
    </row>
    <row r="13" ht="34" customHeight="1" s="99">
      <c r="A13" s="146" t="inlineStr">
        <is>
          <t>Tools</t>
        </is>
      </c>
      <c r="B13" s="96" t="inlineStr">
        <is>
          <t>Servicing APIs with write access, CRM read access, document service, policy/risk classifier, advisor approval workflow, and notification channel.</t>
        </is>
      </c>
      <c r="C13" s="1" t="n"/>
      <c r="D13" s="1" t="n"/>
      <c r="E13" s="142" t="n"/>
      <c r="F13" s="142" t="n"/>
      <c r="G13" s="142" t="n"/>
      <c r="H13" s="142" t="n"/>
    </row>
    <row r="14" ht="34" customHeight="1" s="99">
      <c r="A14" s="146" t="inlineStr">
        <is>
          <t>Data sources</t>
        </is>
      </c>
      <c r="B14" s="96" t="inlineStr">
        <is>
          <t>Client CRM and account systems containing regulated PII and financial data; approved servicing policy and procedure sources.</t>
        </is>
      </c>
      <c r="C14" s="1" t="n"/>
      <c r="D14" s="1" t="n"/>
      <c r="E14" s="142" t="n"/>
      <c r="F14" s="142" t="n"/>
      <c r="G14" s="142" t="n"/>
      <c r="H14" s="142" t="n"/>
    </row>
    <row r="15" ht="34" customHeight="1" s="99">
      <c r="A15" s="146" t="inlineStr">
        <is>
          <t>Memory</t>
        </is>
      </c>
      <c r="B15" s="96" t="inlineStr">
        <is>
          <t>Session and task memory only; no long-term, cross-client, or self-maintained enterprise memory.</t>
        </is>
      </c>
      <c r="C15" s="1" t="n"/>
      <c r="D15" s="1" t="n"/>
      <c r="E15" s="142" t="n"/>
      <c r="F15" s="142" t="n"/>
      <c r="G15" s="142" t="n"/>
      <c r="H15" s="142" t="n"/>
    </row>
    <row r="16" ht="34" customHeight="1" s="99">
      <c r="A16" s="146" t="inlineStr">
        <is>
          <t>Identity and authorization</t>
        </is>
      </c>
      <c r="B16" s="96" t="inlineStr">
        <is>
          <t>Distinct agent identity with on-behalf-of delegation; tool and environment scopes enforced through gateway and broker controls.</t>
        </is>
      </c>
      <c r="C16" s="1" t="n"/>
      <c r="D16" s="1" t="n"/>
      <c r="E16" s="142" t="n"/>
      <c r="F16" s="142" t="n"/>
      <c r="G16" s="142" t="n"/>
      <c r="H16" s="142" t="n"/>
    </row>
    <row r="17" ht="34" customHeight="1" s="99">
      <c r="A17" s="146" t="inlineStr">
        <is>
          <t>Explicit restrictions</t>
        </is>
      </c>
      <c r="B17" s="96" t="inlineStr">
        <is>
          <t>No autonomous high-impact financial action, no cross-client memory, no self-approved exceptions, and no bypass of advisor approval or policy gates.</t>
        </is>
      </c>
      <c r="C17" s="1" t="n"/>
      <c r="D17" s="1" t="n"/>
      <c r="E17" s="142" t="n"/>
      <c r="F17" s="142" t="n"/>
      <c r="G17" s="142" t="n"/>
      <c r="H17" s="142" t="n"/>
    </row>
    <row r="18" ht="15" customHeight="1" s="99">
      <c r="A18" s="146" t="n"/>
      <c r="B18" s="146" t="n"/>
      <c r="C18" s="146" t="n"/>
      <c r="D18" s="146" t="n"/>
      <c r="E18" s="142" t="n"/>
      <c r="F18" s="142" t="n"/>
      <c r="G18" s="142" t="n"/>
      <c r="H18" s="142" t="n"/>
    </row>
    <row r="19" ht="15" customHeight="1" s="99">
      <c r="A19" s="146" t="n"/>
      <c r="B19" s="146" t="n"/>
      <c r="C19" s="146" t="n"/>
      <c r="D19" s="146" t="n"/>
      <c r="E19" s="142" t="n"/>
      <c r="F19" s="142" t="n"/>
      <c r="G19" s="142" t="n"/>
      <c r="H19" s="142" t="n"/>
    </row>
    <row r="20" ht="20" customHeight="1" s="99">
      <c r="A20" s="89" t="inlineStr">
        <is>
          <t>AFI Dimension</t>
        </is>
      </c>
      <c r="B20" s="89" t="inlineStr">
        <is>
          <t>Score</t>
        </is>
      </c>
      <c r="C20" s="97" t="inlineStr">
        <is>
          <t>Rationale</t>
        </is>
      </c>
      <c r="D20" s="1" t="n"/>
      <c r="E20" s="142" t="n"/>
      <c r="F20" s="142" t="n"/>
      <c r="G20" s="142" t="n"/>
      <c r="H20" s="142" t="n"/>
    </row>
    <row r="21" ht="20" customHeight="1" s="99">
      <c r="A21" s="146" t="inlineStr">
        <is>
          <t>Decision Autonomy</t>
        </is>
      </c>
      <c r="B21" s="146" t="n">
        <v>3</v>
      </c>
      <c r="C21" s="96" t="inlineStr">
        <is>
          <t>Executes low-impact actions under policy; high-impact financial or client-impacting actions require explicit advisor approval.</t>
        </is>
      </c>
      <c r="D21" s="1" t="n"/>
      <c r="E21" s="142" t="n"/>
      <c r="F21" s="142" t="n"/>
      <c r="G21" s="142" t="n"/>
      <c r="H21" s="142" t="n"/>
    </row>
    <row r="22" ht="20" customHeight="1" s="99">
      <c r="A22" s="146" t="inlineStr">
        <is>
          <t>Decision Velocity</t>
        </is>
      </c>
      <c r="B22" s="146" t="n">
        <v>3</v>
      </c>
      <c r="C22" s="96" t="inlineStr">
        <is>
          <t>Event-driven decisions triggered by client-servicing requests.</t>
        </is>
      </c>
      <c r="D22" s="1" t="n"/>
      <c r="E22" s="142" t="n"/>
      <c r="F22" s="142" t="n"/>
      <c r="G22" s="142" t="n"/>
      <c r="H22" s="142" t="n"/>
    </row>
    <row r="23" ht="20" customHeight="1" s="99">
      <c r="A23" s="146" t="inlineStr">
        <is>
          <t>Operational Reach</t>
        </is>
      </c>
      <c r="B23" s="146" t="n">
        <v>3</v>
      </c>
      <c r="C23" s="96" t="inlineStr">
        <is>
          <t>Touches servicing, CRM, document, and account-related APIs within one business domain.</t>
        </is>
      </c>
      <c r="D23" s="1" t="n"/>
      <c r="E23" s="142" t="n"/>
      <c r="F23" s="142" t="n"/>
      <c r="G23" s="142" t="n"/>
      <c r="H23" s="142" t="n"/>
    </row>
    <row r="24" ht="20" customHeight="1" s="99">
      <c r="A24" s="146" t="inlineStr">
        <is>
          <t>Operational Criticality</t>
        </is>
      </c>
      <c r="B24" s="146" t="n">
        <v>5</v>
      </c>
      <c r="C24" s="96" t="inlineStr">
        <is>
          <t>Incorrect action can affect regulated client financial records, account servicing, compliance exposure, and client trust.</t>
        </is>
      </c>
      <c r="D24" s="1" t="n"/>
      <c r="E24" s="142" t="n"/>
      <c r="F24" s="142" t="n"/>
      <c r="G24" s="142" t="n"/>
      <c r="H24" s="142" t="n"/>
    </row>
    <row r="25" ht="20" customHeight="1" s="99">
      <c r="A25" s="146" t="inlineStr">
        <is>
          <t>Adaptability</t>
        </is>
      </c>
      <c r="B25" s="146" t="n">
        <v>3</v>
      </c>
      <c r="C25" s="96" t="inlineStr">
        <is>
          <t>Generates plans dynamically over retrieved client context, bounded by a defined servicing-action catalog.</t>
        </is>
      </c>
      <c r="D25" s="1" t="n"/>
      <c r="E25" s="142" t="n"/>
      <c r="F25" s="142" t="n"/>
      <c r="G25" s="142" t="n"/>
      <c r="H25" s="142" t="n"/>
    </row>
    <row r="26" ht="20" customHeight="1" s="99">
      <c r="A26" s="146" t="inlineStr">
        <is>
          <t>Collaboration Complexity</t>
        </is>
      </c>
      <c r="B26" s="146" t="n">
        <v>2</v>
      </c>
      <c r="C26" s="96" t="inlineStr">
        <is>
          <t>Collaborates with advisors and workflow systems; no dynamic multi-agent coordination.</t>
        </is>
      </c>
      <c r="D26" s="1" t="n"/>
      <c r="E26" s="142" t="n"/>
      <c r="F26" s="142" t="n"/>
      <c r="G26" s="142" t="n"/>
      <c r="H26" s="142" t="n"/>
    </row>
    <row r="27" ht="20" customHeight="1" s="99">
      <c r="A27" s="146" t="inlineStr">
        <is>
          <t>Persistence and Memory</t>
        </is>
      </c>
      <c r="B27" s="146" t="n">
        <v>2</v>
      </c>
      <c r="C27" s="96" t="inlineStr">
        <is>
          <t>Uses short-term task memory only; no long-term or cross-client memory.</t>
        </is>
      </c>
      <c r="D27" s="1" t="n"/>
      <c r="E27" s="142" t="n"/>
      <c r="F27" s="142" t="n"/>
      <c r="G27" s="142" t="n"/>
      <c r="H27" s="142" t="n"/>
    </row>
    <row r="28" ht="20" customHeight="1" s="99">
      <c r="A28" s="146" t="inlineStr">
        <is>
          <t>Total</t>
        </is>
      </c>
      <c r="B28" s="146" t="n">
        <v>21</v>
      </c>
      <c r="C28" s="96" t="inlineStr">
        <is>
          <t>AFI = 21 / 35 x 100 = 60.0</t>
        </is>
      </c>
      <c r="D28" s="1" t="n"/>
      <c r="E28" s="142" t="n"/>
      <c r="F28" s="142" t="n"/>
      <c r="G28" s="142" t="n"/>
      <c r="H28" s="142" t="n"/>
    </row>
    <row r="29" ht="15" customHeight="1" s="99">
      <c r="A29" s="146" t="n"/>
      <c r="B29" s="146" t="n"/>
      <c r="C29" s="146" t="n"/>
      <c r="D29" s="146" t="n"/>
      <c r="E29" s="142" t="n"/>
      <c r="F29" s="142" t="n"/>
      <c r="G29" s="142" t="n"/>
      <c r="H29" s="142" t="n"/>
    </row>
    <row r="30" ht="15" customHeight="1" s="99">
      <c r="A30" s="146" t="n"/>
      <c r="B30" s="146" t="n"/>
      <c r="C30" s="146" t="n"/>
      <c r="D30" s="146" t="n"/>
      <c r="E30" s="142" t="n"/>
      <c r="F30" s="142" t="n"/>
      <c r="G30" s="142" t="n"/>
      <c r="H30" s="142" t="n"/>
    </row>
    <row r="31" ht="26" customHeight="1" s="99">
      <c r="A31" s="89" t="inlineStr">
        <is>
          <t>EGI Dimension</t>
        </is>
      </c>
      <c r="B31" s="89" t="inlineStr">
        <is>
          <t>Score</t>
        </is>
      </c>
      <c r="C31" s="89" t="inlineStr">
        <is>
          <t>Evidence Tier</t>
        </is>
      </c>
      <c r="D31" s="89" t="inlineStr">
        <is>
          <t>Evidence Example</t>
        </is>
      </c>
      <c r="E31" s="142" t="n"/>
      <c r="F31" s="142" t="n"/>
      <c r="G31" s="142" t="n"/>
      <c r="H31" s="142" t="n"/>
    </row>
    <row r="32" ht="26" customHeight="1" s="99">
      <c r="A32" s="146" t="inlineStr">
        <is>
          <t>Identity</t>
        </is>
      </c>
      <c r="B32" s="146" t="n">
        <v>4</v>
      </c>
      <c r="C32" s="146" t="n">
        <v>3</v>
      </c>
      <c r="D32" s="146" t="inlineStr">
        <is>
          <t>Distinct agent identity with strong authentication and on-behalf-of delegation; tested evidence required to sustain a 4.</t>
        </is>
      </c>
      <c r="E32" s="142" t="n"/>
      <c r="F32" s="142" t="n"/>
      <c r="G32" s="142" t="n"/>
      <c r="H32" s="142" t="n"/>
    </row>
    <row r="33" ht="26" customHeight="1" s="99">
      <c r="A33" s="146" t="inlineStr">
        <is>
          <t>Authorization</t>
        </is>
      </c>
      <c r="B33" s="146" t="n">
        <v>4</v>
      </c>
      <c r="C33" s="146" t="n">
        <v>3</v>
      </c>
      <c r="D33" s="146" t="inlineStr">
        <is>
          <t>Least privilege by tool and environment, gateway-enforced, with delegated context carried through the request path.</t>
        </is>
      </c>
      <c r="E33" s="142" t="n"/>
      <c r="F33" s="142" t="n"/>
      <c r="G33" s="142" t="n"/>
      <c r="H33" s="142" t="n"/>
    </row>
    <row r="34" ht="26" customHeight="1" s="99">
      <c r="A34" s="146" t="inlineStr">
        <is>
          <t>Policy Enforcement</t>
        </is>
      </c>
      <c r="B34" s="146" t="n">
        <v>4</v>
      </c>
      <c r="C34" s="146" t="n">
        <v>4</v>
      </c>
      <c r="D34" s="146" t="inlineStr">
        <is>
          <t>Runtime enforcement at the gateway with external inspection at defined control points; runtime-verified.</t>
        </is>
      </c>
      <c r="E34" s="142" t="n"/>
      <c r="F34" s="142" t="n"/>
      <c r="G34" s="142" t="n"/>
      <c r="H34" s="142" t="n"/>
    </row>
    <row r="35" ht="26" customHeight="1" s="99">
      <c r="A35" s="146" t="inlineStr">
        <is>
          <t>Observability</t>
        </is>
      </c>
      <c r="B35" s="146" t="n">
        <v>3</v>
      </c>
      <c r="C35" s="146" t="n">
        <v>3</v>
      </c>
      <c r="D35" s="146" t="inlineStr">
        <is>
          <t>Gateway and tool-call logs plus partial prompt, plan, and action traces; not yet full audit-grade end-to-end provenance.</t>
        </is>
      </c>
      <c r="E35" s="142" t="n"/>
      <c r="F35" s="142" t="n"/>
      <c r="G35" s="142" t="n"/>
      <c r="H35" s="142" t="n"/>
    </row>
    <row r="36" ht="26" customHeight="1" s="99">
      <c r="A36" s="146" t="inlineStr">
        <is>
          <t>Governance and Lifecycle</t>
        </is>
      </c>
      <c r="B36" s="146" t="n">
        <v>3</v>
      </c>
      <c r="C36" s="146" t="n">
        <v>3</v>
      </c>
      <c r="D36" s="146" t="inlineStr">
        <is>
          <t>Catalogued with lifecycle approval and reviewed by AI risk, architecture, and change governance.</t>
        </is>
      </c>
      <c r="E36" s="142" t="n"/>
      <c r="F36" s="142" t="n"/>
      <c r="G36" s="142" t="n"/>
      <c r="H36" s="142" t="n"/>
    </row>
    <row r="37" ht="26" customHeight="1" s="99">
      <c r="A37" s="146" t="inlineStr">
        <is>
          <t>Recovery and Resilience</t>
        </is>
      </c>
      <c r="B37" s="146" t="n">
        <v>3</v>
      </c>
      <c r="C37" s="146" t="n">
        <v>3</v>
      </c>
      <c r="D37" s="146" t="inlineStr">
        <is>
          <t>Gateway kill switch and advisor approval gates exist; rollback or compensating control for executed financial actions is only partly tested.</t>
        </is>
      </c>
      <c r="E37" s="142" t="n"/>
      <c r="F37" s="142" t="n"/>
      <c r="G37" s="142" t="n"/>
      <c r="H37" s="142" t="n"/>
    </row>
    <row r="38" ht="26" customHeight="1" s="99">
      <c r="A38" s="146" t="inlineStr">
        <is>
          <t>Assurance and Evaluation</t>
        </is>
      </c>
      <c r="B38" s="146" t="n">
        <v>2</v>
      </c>
      <c r="C38" s="146" t="n">
        <v>2</v>
      </c>
      <c r="D38" s="146" t="inlineStr">
        <is>
          <t>Pre-release scenario testing exists; no continuous runtime evaluation, drift detection, or outcome validation yet.</t>
        </is>
      </c>
      <c r="E38" s="142" t="n"/>
      <c r="F38" s="142" t="n"/>
      <c r="G38" s="142" t="n"/>
      <c r="H38" s="142" t="n"/>
    </row>
    <row r="39" ht="26" customHeight="1" s="99">
      <c r="A39" s="146" t="inlineStr">
        <is>
          <t>Total</t>
        </is>
      </c>
      <c r="B39" s="146" t="n">
        <v>23</v>
      </c>
      <c r="C39" s="146" t="inlineStr">
        <is>
          <t>-</t>
        </is>
      </c>
      <c r="D39" s="146" t="inlineStr">
        <is>
          <t>EGI = 23 / 35 x 100 = 66.0</t>
        </is>
      </c>
      <c r="E39" s="142" t="n"/>
      <c r="F39" s="142" t="n"/>
      <c r="G39" s="142" t="n"/>
      <c r="H39" s="142" t="n"/>
    </row>
    <row r="40" ht="15" customHeight="1" s="99">
      <c r="A40" s="146" t="n"/>
      <c r="B40" s="146" t="n"/>
      <c r="C40" s="146" t="n"/>
      <c r="D40" s="146" t="n"/>
      <c r="E40" s="142" t="n"/>
      <c r="F40" s="142" t="n"/>
      <c r="G40" s="142" t="n"/>
      <c r="H40" s="142" t="n"/>
    </row>
    <row r="41" ht="15" customHeight="1" s="99">
      <c r="A41" s="146" t="n"/>
      <c r="B41" s="146" t="n"/>
      <c r="C41" s="146" t="n"/>
      <c r="D41" s="146" t="n"/>
      <c r="E41" s="142" t="n"/>
      <c r="F41" s="142" t="n"/>
      <c r="G41" s="142" t="n"/>
      <c r="H41" s="142" t="n"/>
    </row>
    <row r="42" ht="38" customHeight="1" s="99">
      <c r="A42" s="89" t="inlineStr">
        <is>
          <t>Control Uplift</t>
        </is>
      </c>
      <c r="B42" s="97" t="inlineStr">
        <is>
          <t>Reason</t>
        </is>
      </c>
      <c r="C42" s="1" t="n"/>
      <c r="D42" s="1" t="n"/>
      <c r="E42" s="142" t="n"/>
      <c r="F42" s="142" t="n"/>
      <c r="G42" s="142" t="n"/>
      <c r="H42" s="142" t="n"/>
    </row>
    <row r="43" ht="38" customHeight="1" s="99">
      <c r="A43" s="146" t="inlineStr">
        <is>
          <t>Add runtime evaluation for client-servicing decisions</t>
        </is>
      </c>
      <c r="B43" s="96" t="inlineStr">
        <is>
          <t>High-impact or ambiguous client requests should be evaluated at runtime before execution or approval routing.</t>
        </is>
      </c>
      <c r="C43" s="1" t="n"/>
      <c r="D43" s="1" t="n"/>
      <c r="E43" s="142" t="n"/>
      <c r="F43" s="142" t="n"/>
      <c r="G43" s="142" t="n"/>
      <c r="H43" s="142" t="n"/>
    </row>
    <row r="44" ht="38" customHeight="1" s="99">
      <c r="A44" s="146" t="inlineStr">
        <is>
          <t>Increase observability to audit-grade decision provenance</t>
        </is>
      </c>
      <c r="B44" s="96" t="inlineStr">
        <is>
          <t>Reviewers should reconstruct initiating user, delegated authority, prompt, retrieved client context, plan, policy result, tool call, approval decision, action, and outcome end to end.</t>
        </is>
      </c>
      <c r="C44" s="1" t="n"/>
      <c r="D44" s="1" t="n"/>
      <c r="E44" s="142" t="n"/>
      <c r="F44" s="142" t="n"/>
      <c r="G44" s="142" t="n"/>
      <c r="H44" s="142" t="n"/>
    </row>
    <row r="45" ht="38" customHeight="1" s="99">
      <c r="A45" s="146" t="inlineStr">
        <is>
          <t>Test rollback and compensating controls</t>
        </is>
      </c>
      <c r="B45" s="96" t="inlineStr">
        <is>
          <t>Some financial or client-record actions cannot be simply undone; compensating processes must be tested and evidenced.</t>
        </is>
      </c>
      <c r="C45" s="1" t="n"/>
      <c r="D45" s="1" t="n"/>
      <c r="E45" s="142" t="n"/>
      <c r="F45" s="142" t="n"/>
      <c r="G45" s="142" t="n"/>
      <c r="H45" s="142" t="n"/>
    </row>
    <row r="46" ht="38" customHeight="1" s="99">
      <c r="A46" s="146" t="inlineStr">
        <is>
          <t>Keep advisor approval for high-impact workflows</t>
        </is>
      </c>
      <c r="B46" s="96" t="inlineStr">
        <is>
          <t>Human accountability remains necessary for transfers, sensitive data changes, exceptions, and elevated-risk servicing actions until SMI improves.</t>
        </is>
      </c>
      <c r="C46" s="1" t="n"/>
      <c r="D46" s="1" t="n"/>
      <c r="E46" s="142" t="n"/>
      <c r="F46" s="142" t="n"/>
      <c r="G46" s="142" t="n"/>
      <c r="H46" s="142" t="n"/>
    </row>
    <row r="47" ht="38" customHeight="1" s="99">
      <c r="A47" s="146" t="inlineStr">
        <is>
          <t>Require threat modeling before autonomy expansion</t>
        </is>
      </c>
      <c r="B47" s="96" t="inlineStr">
        <is>
          <t>The agent touches regulated PII and financial workflows; model prompt injection, tool misuse, delegated-authority abuse, approval bypass, and data-exfiltration paths.</t>
        </is>
      </c>
      <c r="C47" s="1" t="n"/>
      <c r="D47" s="1" t="n"/>
      <c r="E47" s="142" t="n"/>
      <c r="F47" s="142" t="n"/>
      <c r="G47" s="142" t="n"/>
      <c r="H47" s="142" t="n"/>
    </row>
    <row r="48">
      <c r="A48" s="142" t="n"/>
      <c r="B48" s="142" t="n"/>
      <c r="C48" s="142" t="n"/>
      <c r="D48" s="142" t="n"/>
      <c r="E48" s="142" t="n"/>
      <c r="F48" s="142" t="n"/>
      <c r="G48" s="142" t="n"/>
      <c r="H48" s="142" t="n"/>
    </row>
    <row r="49">
      <c r="A49" s="142" t="n"/>
      <c r="B49" s="142" t="n"/>
      <c r="C49" s="142" t="n"/>
      <c r="D49" s="142" t="n"/>
      <c r="E49" s="142" t="n"/>
      <c r="F49" s="142" t="n"/>
      <c r="G49" s="142" t="n"/>
      <c r="H49" s="142" t="n"/>
    </row>
    <row r="50">
      <c r="A50" s="142" t="n"/>
      <c r="B50" s="142" t="n"/>
      <c r="C50" s="142" t="n"/>
      <c r="D50" s="142" t="n"/>
      <c r="E50" s="142" t="n"/>
      <c r="F50" s="142" t="n"/>
      <c r="G50" s="142" t="n"/>
      <c r="H50" s="142" t="n"/>
    </row>
    <row r="51">
      <c r="A51" s="142" t="n"/>
      <c r="B51" s="142" t="n"/>
      <c r="C51" s="142" t="n"/>
      <c r="D51" s="142" t="n"/>
      <c r="E51" s="142" t="n"/>
      <c r="F51" s="142" t="n"/>
      <c r="G51" s="142" t="n"/>
      <c r="H51" s="142" t="n"/>
    </row>
    <row r="52">
      <c r="A52" s="142" t="n"/>
      <c r="B52" s="142" t="n"/>
      <c r="C52" s="142" t="n"/>
      <c r="D52" s="142" t="n"/>
      <c r="E52" s="142" t="n"/>
      <c r="F52" s="142" t="n"/>
      <c r="G52" s="142" t="n"/>
      <c r="H52" s="142" t="n"/>
    </row>
    <row r="53">
      <c r="A53" s="142" t="n"/>
      <c r="B53" s="142" t="n"/>
      <c r="C53" s="142" t="n"/>
      <c r="D53" s="142" t="n"/>
      <c r="E53" s="142" t="n"/>
      <c r="F53" s="142" t="n"/>
      <c r="G53" s="142" t="n"/>
      <c r="H53" s="142" t="n"/>
    </row>
    <row r="54">
      <c r="A54" s="142" t="n"/>
      <c r="B54" s="142" t="n"/>
      <c r="C54" s="142" t="n"/>
      <c r="D54" s="142" t="n"/>
      <c r="E54" s="142" t="n"/>
      <c r="F54" s="142" t="n"/>
      <c r="G54" s="142" t="n"/>
      <c r="H54" s="142" t="n"/>
    </row>
    <row r="55">
      <c r="A55" s="142" t="n"/>
      <c r="B55" s="142" t="n"/>
      <c r="C55" s="142" t="n"/>
      <c r="D55" s="142" t="n"/>
      <c r="E55" s="142" t="n"/>
      <c r="F55" s="142" t="n"/>
      <c r="G55" s="142" t="n"/>
      <c r="H55" s="142" t="n"/>
    </row>
    <row r="56">
      <c r="A56" s="142" t="n"/>
      <c r="B56" s="142" t="n"/>
      <c r="C56" s="142" t="n"/>
      <c r="D56" s="142" t="n"/>
      <c r="E56" s="142" t="n"/>
      <c r="F56" s="142" t="n"/>
      <c r="G56" s="142" t="n"/>
      <c r="H56" s="142" t="n"/>
    </row>
    <row r="57">
      <c r="A57" s="142" t="n"/>
      <c r="B57" s="142" t="n"/>
      <c r="C57" s="142" t="n"/>
      <c r="D57" s="142" t="n"/>
      <c r="E57" s="142" t="n"/>
      <c r="F57" s="142" t="n"/>
      <c r="G57" s="142" t="n"/>
      <c r="H57" s="142" t="n"/>
    </row>
    <row r="58">
      <c r="A58" s="142" t="n"/>
      <c r="B58" s="142" t="n"/>
      <c r="C58" s="142" t="n"/>
      <c r="D58" s="142" t="n"/>
      <c r="E58" s="142" t="n"/>
      <c r="F58" s="142" t="n"/>
      <c r="G58" s="142" t="n"/>
      <c r="H58" s="142" t="n"/>
    </row>
    <row r="59">
      <c r="A59" s="142" t="n"/>
      <c r="B59" s="142" t="n"/>
      <c r="C59" s="142" t="n"/>
      <c r="D59" s="142" t="n"/>
      <c r="E59" s="142" t="n"/>
      <c r="F59" s="142" t="n"/>
      <c r="G59" s="142" t="n"/>
      <c r="H59" s="142" t="n"/>
    </row>
    <row r="60">
      <c r="A60" s="142" t="n"/>
      <c r="B60" s="142" t="n"/>
      <c r="C60" s="142" t="n"/>
      <c r="D60" s="142" t="n"/>
      <c r="E60" s="142" t="n"/>
      <c r="F60" s="142" t="n"/>
      <c r="G60" s="142" t="n"/>
      <c r="H60" s="142" t="n"/>
    </row>
    <row r="61">
      <c r="A61" s="142" t="n"/>
      <c r="B61" s="142" t="n"/>
      <c r="C61" s="142" t="n"/>
      <c r="D61" s="142" t="n"/>
      <c r="E61" s="142" t="n"/>
      <c r="F61" s="142" t="n"/>
      <c r="G61" s="142" t="n"/>
      <c r="H61" s="142" t="n"/>
    </row>
    <row r="62">
      <c r="A62" s="142" t="n"/>
      <c r="B62" s="142" t="n"/>
      <c r="C62" s="142" t="n"/>
      <c r="D62" s="142" t="n"/>
      <c r="E62" s="142" t="n"/>
      <c r="F62" s="142" t="n"/>
      <c r="G62" s="142" t="n"/>
      <c r="H62" s="142" t="n"/>
    </row>
    <row r="63">
      <c r="A63" s="142" t="n"/>
      <c r="B63" s="142" t="n"/>
      <c r="C63" s="142" t="n"/>
      <c r="D63" s="142" t="n"/>
      <c r="E63" s="142" t="n"/>
      <c r="F63" s="142" t="n"/>
      <c r="G63" s="142" t="n"/>
      <c r="H63" s="142" t="n"/>
    </row>
    <row r="64">
      <c r="A64" s="142" t="n"/>
      <c r="B64" s="142" t="n"/>
      <c r="C64" s="142" t="n"/>
      <c r="D64" s="142" t="n"/>
      <c r="E64" s="142" t="n"/>
      <c r="F64" s="142" t="n"/>
      <c r="G64" s="142" t="n"/>
      <c r="H64" s="142" t="n"/>
    </row>
    <row r="65">
      <c r="A65" s="142" t="n"/>
      <c r="B65" s="142" t="n"/>
      <c r="C65" s="142" t="n"/>
      <c r="D65" s="142" t="n"/>
      <c r="E65" s="142" t="n"/>
      <c r="F65" s="142" t="n"/>
      <c r="G65" s="142" t="n"/>
      <c r="H65" s="142" t="n"/>
    </row>
    <row r="66">
      <c r="A66" s="142" t="n"/>
      <c r="B66" s="142" t="n"/>
      <c r="C66" s="142" t="n"/>
      <c r="D66" s="142" t="n"/>
      <c r="E66" s="142" t="n"/>
      <c r="F66" s="142" t="n"/>
      <c r="G66" s="142" t="n"/>
      <c r="H66" s="142" t="n"/>
    </row>
    <row r="67">
      <c r="A67" s="142" t="n"/>
      <c r="B67" s="142" t="n"/>
      <c r="C67" s="142" t="n"/>
      <c r="D67" s="142" t="n"/>
      <c r="E67" s="142" t="n"/>
      <c r="F67" s="142" t="n"/>
      <c r="G67" s="142" t="n"/>
      <c r="H67" s="142" t="n"/>
    </row>
    <row r="68">
      <c r="A68" s="142" t="n"/>
      <c r="B68" s="142" t="n"/>
      <c r="C68" s="142" t="n"/>
      <c r="D68" s="142" t="n"/>
      <c r="E68" s="142" t="n"/>
      <c r="F68" s="142" t="n"/>
      <c r="G68" s="142" t="n"/>
      <c r="H68" s="142" t="n"/>
    </row>
    <row r="69">
      <c r="A69" s="142" t="n"/>
      <c r="B69" s="142" t="n"/>
      <c r="C69" s="142" t="n"/>
      <c r="D69" s="142" t="n"/>
      <c r="E69" s="142" t="n"/>
      <c r="F69" s="142" t="n"/>
      <c r="G69" s="142" t="n"/>
      <c r="H69" s="142" t="n"/>
    </row>
    <row r="70">
      <c r="A70" s="142" t="n"/>
      <c r="B70" s="142" t="n"/>
      <c r="C70" s="142" t="n"/>
      <c r="D70" s="142" t="n"/>
      <c r="E70" s="142" t="n"/>
      <c r="F70" s="142" t="n"/>
      <c r="G70" s="142" t="n"/>
      <c r="H70" s="142" t="n"/>
    </row>
    <row r="71">
      <c r="A71" s="142" t="n"/>
      <c r="B71" s="142" t="n"/>
      <c r="C71" s="142" t="n"/>
      <c r="D71" s="142" t="n"/>
      <c r="E71" s="142" t="n"/>
      <c r="F71" s="142" t="n"/>
      <c r="G71" s="142" t="n"/>
      <c r="H71" s="142" t="n"/>
    </row>
    <row r="72">
      <c r="A72" s="142" t="n"/>
      <c r="B72" s="142" t="n"/>
      <c r="C72" s="142" t="n"/>
      <c r="D72" s="142" t="n"/>
      <c r="E72" s="142" t="n"/>
      <c r="F72" s="142" t="n"/>
      <c r="G72" s="142" t="n"/>
      <c r="H72" s="142" t="n"/>
    </row>
    <row r="73">
      <c r="A73" s="142" t="n"/>
      <c r="B73" s="142" t="n"/>
      <c r="C73" s="142" t="n"/>
      <c r="D73" s="142" t="n"/>
      <c r="E73" s="142" t="n"/>
      <c r="F73" s="142" t="n"/>
      <c r="G73" s="142" t="n"/>
      <c r="H73" s="142" t="n"/>
    </row>
    <row r="74">
      <c r="A74" s="142" t="n"/>
      <c r="B74" s="142" t="n"/>
      <c r="C74" s="142" t="n"/>
      <c r="D74" s="142" t="n"/>
      <c r="E74" s="142" t="n"/>
      <c r="F74" s="142" t="n"/>
      <c r="G74" s="142" t="n"/>
      <c r="H74" s="142" t="n"/>
    </row>
    <row r="75">
      <c r="A75" s="142" t="n"/>
      <c r="B75" s="142" t="n"/>
      <c r="C75" s="142" t="n"/>
      <c r="D75" s="142" t="n"/>
      <c r="E75" s="142" t="n"/>
      <c r="F75" s="142" t="n"/>
      <c r="G75" s="142" t="n"/>
      <c r="H75" s="142" t="n"/>
    </row>
    <row r="76">
      <c r="A76" s="142" t="n"/>
      <c r="B76" s="142" t="n"/>
      <c r="C76" s="142" t="n"/>
      <c r="D76" s="142" t="n"/>
      <c r="E76" s="142" t="n"/>
      <c r="F76" s="142" t="n"/>
      <c r="G76" s="142" t="n"/>
      <c r="H76" s="142" t="n"/>
    </row>
    <row r="77">
      <c r="A77" s="142" t="n"/>
      <c r="B77" s="142" t="n"/>
      <c r="C77" s="142" t="n"/>
      <c r="D77" s="142" t="n"/>
      <c r="E77" s="142" t="n"/>
      <c r="F77" s="142" t="n"/>
      <c r="G77" s="142" t="n"/>
      <c r="H77" s="142" t="n"/>
    </row>
    <row r="78">
      <c r="A78" s="98" t="inlineStr">
        <is>
          <t>© 2026 Sumir Arora. Licensed under Creative Commons Attribution 4.0 International (CC BY 4.0).</t>
        </is>
      </c>
      <c r="B78" s="1" t="n"/>
      <c r="C78" s="1" t="n"/>
      <c r="D78" s="1" t="n"/>
      <c r="E78" s="1" t="n"/>
      <c r="F78" s="1" t="n"/>
      <c r="G78" s="1" t="n"/>
      <c r="H78" s="1" t="n"/>
    </row>
    <row r="79">
      <c r="A79" s="142" t="n"/>
      <c r="B79" s="142" t="n"/>
      <c r="C79" s="142" t="n"/>
      <c r="D79" s="142" t="n"/>
      <c r="E79" s="142" t="n"/>
      <c r="F79" s="142" t="n"/>
      <c r="G79" s="142" t="n"/>
      <c r="H79" s="142" t="n"/>
    </row>
    <row r="80">
      <c r="A80" s="142" t="n"/>
      <c r="B80" s="142" t="n"/>
      <c r="C80" s="142" t="n"/>
      <c r="D80" s="142" t="n"/>
      <c r="E80" s="142" t="n"/>
      <c r="F80" s="142" t="n"/>
      <c r="G80" s="142" t="n"/>
      <c r="H80" s="142" t="n"/>
    </row>
  </sheetData>
  <mergeCells count="31">
    <mergeCell ref="B11:D11"/>
    <mergeCell ref="B42:D42"/>
    <mergeCell ref="B14:D14"/>
    <mergeCell ref="C24:D24"/>
    <mergeCell ref="C6:D6"/>
    <mergeCell ref="C5:D5"/>
    <mergeCell ref="B17:D17"/>
    <mergeCell ref="B13:D13"/>
    <mergeCell ref="B44:D44"/>
    <mergeCell ref="C26:D26"/>
    <mergeCell ref="C4:D4"/>
    <mergeCell ref="B10:D10"/>
    <mergeCell ref="C20:D20"/>
    <mergeCell ref="A78:H78"/>
    <mergeCell ref="C25:D25"/>
    <mergeCell ref="C22:D22"/>
    <mergeCell ref="B15:D15"/>
    <mergeCell ref="A1:D1"/>
    <mergeCell ref="C21:D21"/>
    <mergeCell ref="B45:D45"/>
    <mergeCell ref="C27:D27"/>
    <mergeCell ref="C23:D23"/>
    <mergeCell ref="B47:D47"/>
    <mergeCell ref="B16:D16"/>
    <mergeCell ref="C8:D8"/>
    <mergeCell ref="C7:D7"/>
    <mergeCell ref="B46:D46"/>
    <mergeCell ref="C28:D28"/>
    <mergeCell ref="A2:D2"/>
    <mergeCell ref="B43:D43"/>
    <mergeCell ref="B12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2026-07-08T03:33:12Z</dcterms:created>
  <dcterms:modified xmlns:dcterms="http://purl.org/dc/terms/" xmlns:xsi="http://www.w3.org/2001/XMLSchema-instance" xsi:type="dcterms:W3CDTF">2026-07-08T03:33:13Z</dcterms:modified>
</cp:coreProperties>
</file>